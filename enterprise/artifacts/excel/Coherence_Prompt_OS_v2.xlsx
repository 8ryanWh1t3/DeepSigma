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_LOG" sheetId="1" state="visible" r:id="rId1"/>
    <sheet xmlns:r="http://schemas.openxmlformats.org/officeDocument/2006/relationships" name="ATOMIC_CLAIMS" sheetId="2" state="visible" r:id="rId2"/>
    <sheet xmlns:r="http://schemas.openxmlformats.org/officeDocument/2006/relationships" name="PROMPT_LIBRARY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PATCH_LOG" sheetId="5" state="visible" r:id="rId5"/>
    <sheet xmlns:r="http://schemas.openxmlformats.org/officeDocument/2006/relationships" name="LLM_OUTPUT" sheetId="6" state="visible" r:id="rId6"/>
    <sheet xmlns:r="http://schemas.openxmlformats.org/officeDocument/2006/relationships" name="DASHBOARD_V2" sheetId="7" state="visible" r:id="rId7"/>
    <sheet xmlns:r="http://schemas.openxmlformats.org/officeDocument/2006/relationships" name="DASHBOARD_TRENDS" sheetId="8" state="visible" r:id="rId8"/>
    <sheet xmlns:r="http://schemas.openxmlformats.org/officeDocument/2006/relationships" name="REALITY_ENGINE" sheetId="9" state="visible" r:id="rId9"/>
    <sheet xmlns:r="http://schemas.openxmlformats.org/officeDocument/2006/relationships" name="EXECUTIVE_ENGIN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Decisions &amp; Confidence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'DASHBOARD_TRENDS'!B1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'DASHBOARD_TRENDS'!$A$2:$A$4</f>
            </numRef>
          </cat>
          <val>
            <numRef>
              <f>'DASHBOARD_TRENDS'!$B$2:$B$4</f>
            </numRef>
          </val>
        </ser>
        <ser>
          <idx val="1"/>
          <order val="1"/>
          <tx>
            <strRef>
              <f>'DASHBOARD_TRENDS'!C1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'DASHBOARD_TRENDS'!$A$2:$A$4</f>
            </numRef>
          </cat>
          <val>
            <numRef>
              <f>'DASHBOARD_TRENDS'!$C$2:$C$4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Patches by Week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'DASHBOARD_TRENDS'!F1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'DASHBOARD_TRENDS'!$A$2:$A$4</f>
            </numRef>
          </cat>
          <val>
            <numRef>
              <f>'DASHBOARD_TRENDS'!$F$2:$F$4</f>
            </numRef>
          </val>
        </ser>
        <ser>
          <idx val="1"/>
          <order val="1"/>
          <tx>
            <strRef>
              <f>'DASHBOARD_TRENDS'!G1</f>
            </strRef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cat>
            <numRef>
              <f>'DASHBOARD_TRENDS'!$A$2:$A$4</f>
            </numRef>
          </cat>
          <val>
            <numRef>
              <f>'DASHBOARD_TRENDS'!$G$2:$G$4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Health Trend</a:t>
            </a:r>
          </a:p>
        </rich>
      </tx>
    </title>
    <plotArea>
      <areaChart>
        <grouping val="standard"/>
        <ser>
          <idx val="0"/>
          <order val="0"/>
          <tx>
            <strRef>
              <f>'DASHBOARD_TRENDS'!H1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'DASHBOARD_TRENDS'!$A$2:$A$4</f>
            </numRef>
          </cat>
          <val>
            <numRef>
              <f>'DASHBOARD_TRENDS'!$H$2:$H$4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22</row>
      <rowOff>0</rowOff>
    </from>
    <ext cx="72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38</row>
      <rowOff>0</rowOff>
    </from>
    <ext cx="720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ecisionLogTable" displayName="DecisionLogTable" ref="A1:Q4" headerRowCount="1">
  <autoFilter ref="A1:Q4"/>
  <tableColumns count="17">
    <tableColumn id="1" name="DecisionID"/>
    <tableColumn id="2" name="Title"/>
    <tableColumn id="3" name="Category"/>
    <tableColumn id="4" name="Owner"/>
    <tableColumn id="5" name="Status"/>
    <tableColumn id="6" name="Confidence_pct"/>
    <tableColumn id="7" name="BlastRadius_1to5"/>
    <tableColumn id="8" name="Reversibility_1to5"/>
    <tableColumn id="9" name="CostOfDelay"/>
    <tableColumn id="10" name="CompressionRisk"/>
    <tableColumn id="11" name="Evidence"/>
    <tableColumn id="12" name="CounterEvidence"/>
    <tableColumn id="13" name="Assumptions"/>
    <tableColumn id="14" name="DateLogged"/>
    <tableColumn id="15" name="ReviewDate"/>
    <tableColumn id="16" name="PriorityScore"/>
    <tableColumn id="17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tomicClaimsTable" displayName="AtomicClaimsTable" ref="A1:M5" headerRowCount="1">
  <autoFilter ref="A1:M5"/>
  <tableColumns count="13">
    <tableColumn id="1" name="ClaimID"/>
    <tableColumn id="2" name="Claim"/>
    <tableColumn id="3" name="Source"/>
    <tableColumn id="4" name="SourceType"/>
    <tableColumn id="5" name="Confidence_pct"/>
    <tableColumn id="6" name="EvidenceStrength_0to100"/>
    <tableColumn id="7" name="CounterEvidence_0to100"/>
    <tableColumn id="8" name="DateCaptured"/>
    <tableColumn id="9" name="StaleDays"/>
    <tableColumn id="10" name="CredibilityScore"/>
    <tableColumn id="11" name="LinkedDecisionID"/>
    <tableColumn id="12" name="Tags"/>
    <tableColumn id="13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romptLibraryTable" displayName="PromptLibraryTable" ref="A1:L5" headerRowCount="1">
  <autoFilter ref="A1:L5"/>
  <tableColumns count="12">
    <tableColumn id="1" name="PromptID"/>
    <tableColumn id="2" name="PromptName"/>
    <tableColumn id="3" name="Category"/>
    <tableColumn id="4" name="Version"/>
    <tableColumn id="5" name="SuccessRate_pct"/>
    <tableColumn id="6" name="AvgRating_1to5"/>
    <tableColumn id="7" name="DriftFlag"/>
    <tableColumn id="8" name="UsageCount"/>
    <tableColumn id="9" name="LastUsed"/>
    <tableColumn id="10" name="PromptHealth"/>
    <tableColumn id="11" name="Owner"/>
    <tableColumn id="12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ssumptionsTable" displayName="AssumptionsTable" ref="A1:L5" headerRowCount="1">
  <autoFilter ref="A1:L5"/>
  <tableColumns count="12">
    <tableColumn id="1" name="AssumptionID"/>
    <tableColumn id="2" name="Assumption"/>
    <tableColumn id="3" name="LinkedDecisionID"/>
    <tableColumn id="4" name="Confidence_pct"/>
    <tableColumn id="5" name="CreatedDate"/>
    <tableColumn id="6" name="HalfLife_days"/>
    <tableColumn id="7" name="ExpiryDate"/>
    <tableColumn id="8" name="ExpiryRisk"/>
    <tableColumn id="9" name="DisconfirmSignal"/>
    <tableColumn id="10" name="LastReviewed"/>
    <tableColumn id="11" name="Status"/>
    <tableColumn id="12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atchLogTable" displayName="PatchLogTable" ref="A1:K4" headerRowCount="1">
  <autoFilter ref="A1:K4"/>
  <tableColumns count="11">
    <tableColumn id="1" name="PatchID"/>
    <tableColumn id="2" name="TriggerType"/>
    <tableColumn id="3" name="TriggerID"/>
    <tableColumn id="4" name="Description"/>
    <tableColumn id="5" name="Severity_GYR"/>
    <tableColumn id="6" name="Status"/>
    <tableColumn id="7" name="Owner"/>
    <tableColumn id="8" name="DateCreated"/>
    <tableColumn id="9" name="DateResolved"/>
    <tableColumn id="10" name="Resolution"/>
    <tableColumn id="11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LLMOutputTable" displayName="LLMOutputTable" ref="A1:K3" headerRowCount="1">
  <autoFilter ref="A1:K3"/>
  <tableColumns count="11">
    <tableColumn id="1" name="RunID"/>
    <tableColumn id="2" name="SessionDate"/>
    <tableColumn id="3" name="Model"/>
    <tableColumn id="4" name="TopActions"/>
    <tableColumn id="5" name="TopRisks"/>
    <tableColumn id="6" name="SuggestedUpdates"/>
    <tableColumn id="7" name="SealHash"/>
    <tableColumn id="8" name="SummaryConfidence_pct"/>
    <tableColumn id="9" name="NextReviewDate"/>
    <tableColumn id="10" name="Operator"/>
    <tableColumn id="11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ashboardTrendsTable" displayName="DashboardTrendsTable" ref="A1:I4" headerRowCount="1">
  <autoFilter ref="A1:I4"/>
  <tableColumns count="9">
    <tableColumn id="1" name="WeekEnding"/>
    <tableColumn id="2" name="ActiveDecisions"/>
    <tableColumn id="3" name="AvgConfidence"/>
    <tableColumn id="4" name="LowCredClaims"/>
    <tableColumn id="5" name="ExpiredAssumptions"/>
    <tableColumn id="6" name="OpenPatches"/>
    <tableColumn id="7" name="REDPatches"/>
    <tableColumn id="8" name="AvgPromptHealth"/>
    <tableColumn id="9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7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3" customWidth="1" min="4" max="4"/>
    <col width="12" customWidth="1" min="5" max="5"/>
    <col width="18" customWidth="1" min="6" max="6"/>
    <col width="20" customWidth="1" min="7" max="7"/>
    <col width="22" customWidth="1" min="8" max="8"/>
    <col width="15" customWidth="1" min="9" max="9"/>
    <col width="19" customWidth="1" min="10" max="10"/>
    <col width="37" customWidth="1" min="11" max="11"/>
    <col width="40" customWidth="1" min="12" max="12"/>
    <col width="25" customWidth="1" min="13" max="13"/>
    <col width="14" customWidth="1" min="14" max="14"/>
    <col width="14" customWidth="1" min="15" max="15"/>
    <col width="40" customWidth="1" min="16" max="16"/>
    <col width="24" customWidth="1" min="17" max="17"/>
  </cols>
  <sheetData>
    <row r="1">
      <c r="A1" s="1" t="inlineStr">
        <is>
          <t>DecisionID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Confidence_pct</t>
        </is>
      </c>
      <c r="G1" s="1" t="inlineStr">
        <is>
          <t>BlastRadius_1to5</t>
        </is>
      </c>
      <c r="H1" s="1" t="inlineStr">
        <is>
          <t>Reversibility_1to5</t>
        </is>
      </c>
      <c r="I1" s="1" t="inlineStr">
        <is>
          <t>CostOfDelay</t>
        </is>
      </c>
      <c r="J1" s="1" t="inlineStr">
        <is>
          <t>CompressionRisk</t>
        </is>
      </c>
      <c r="K1" s="1" t="inlineStr">
        <is>
          <t>Evidence</t>
        </is>
      </c>
      <c r="L1" s="1" t="inlineStr">
        <is>
          <t>CounterEvidence</t>
        </is>
      </c>
      <c r="M1" s="1" t="inlineStr">
        <is>
          <t>Assumptions</t>
        </is>
      </c>
      <c r="N1" s="1" t="inlineStr">
        <is>
          <t>DateLogged</t>
        </is>
      </c>
      <c r="O1" s="1" t="inlineStr">
        <is>
          <t>ReviewDate</t>
        </is>
      </c>
      <c r="P1" s="1" t="inlineStr">
        <is>
          <t>PriorityScore</t>
        </is>
      </c>
      <c r="Q1" s="1" t="inlineStr">
        <is>
          <t>Notes</t>
        </is>
      </c>
    </row>
    <row r="2">
      <c r="A2" t="inlineStr">
        <is>
          <t>DEC-001</t>
        </is>
      </c>
      <c r="B2" t="inlineStr">
        <is>
          <t>Migrate to cloud ERP</t>
        </is>
      </c>
      <c r="C2" t="inlineStr">
        <is>
          <t>Technology</t>
        </is>
      </c>
      <c r="D2" t="inlineStr">
        <is>
          <t>J. Rivera</t>
        </is>
      </c>
      <c r="E2" t="inlineStr">
        <is>
          <t>Active</t>
        </is>
      </c>
      <c r="F2" t="n">
        <v>75</v>
      </c>
      <c r="G2" t="n">
        <v>4</v>
      </c>
      <c r="H2" t="n">
        <v>2</v>
      </c>
      <c r="I2" t="inlineStr">
        <is>
          <t>High</t>
        </is>
      </c>
      <c r="J2" t="inlineStr">
        <is>
          <t>Medium</t>
        </is>
      </c>
      <c r="K2" t="inlineStr">
        <is>
          <t>Vendor benchmarks; 3 case studies</t>
        </is>
      </c>
      <c r="L2" t="inlineStr">
        <is>
          <t>Legacy integration risk</t>
        </is>
      </c>
      <c r="M2" t="inlineStr">
        <is>
          <t>Budget approved Q1</t>
        </is>
      </c>
      <c r="N2" t="inlineStr">
        <is>
          <t>2026-01-10</t>
        </is>
      </c>
      <c r="O2" t="inlineStr">
        <is>
          <t>2026-04-10</t>
        </is>
      </c>
      <c r="P2">
        <f>((G2*0.3)+((5-H2)*0.2))*(1-(F2/100)*0.1)+IF(I2="High",2,IF(I2="Medium",1,0))+IF(J2="High",1.5,IF(J2="Medium",0.75,0))</f>
        <v/>
      </c>
      <c r="Q2" t="inlineStr">
        <is>
          <t>Phase 1 scoped</t>
        </is>
      </c>
    </row>
    <row r="3">
      <c r="A3" t="inlineStr">
        <is>
          <t>DEC-002</t>
        </is>
      </c>
      <c r="B3" t="inlineStr">
        <is>
          <t>Expand QA headcount</t>
        </is>
      </c>
      <c r="C3" t="inlineStr">
        <is>
          <t>Operations</t>
        </is>
      </c>
      <c r="D3" t="inlineStr">
        <is>
          <t>M. Chen</t>
        </is>
      </c>
      <c r="E3" t="inlineStr">
        <is>
          <t>Active</t>
        </is>
      </c>
      <c r="F3" t="n">
        <v>60</v>
      </c>
      <c r="G3" t="n">
        <v>2</v>
      </c>
      <c r="H3" t="n">
        <v>4</v>
      </c>
      <c r="I3" t="inlineStr">
        <is>
          <t>Medium</t>
        </is>
      </c>
      <c r="J3" t="inlineStr">
        <is>
          <t>Low</t>
        </is>
      </c>
      <c r="K3" t="inlineStr">
        <is>
          <t>Defect backlog +40%</t>
        </is>
      </c>
      <c r="L3" t="inlineStr">
        <is>
          <t>Contractor option exists</t>
        </is>
      </c>
      <c r="M3" t="inlineStr">
        <is>
          <t>Hiring freeze lifted</t>
        </is>
      </c>
      <c r="N3" t="inlineStr">
        <is>
          <t>2026-01-15</t>
        </is>
      </c>
      <c r="O3" t="inlineStr">
        <is>
          <t>2026-03-15</t>
        </is>
      </c>
      <c r="P3">
        <f>((G3*0.3)+((5-H3)*0.2))*(1-(F3/100)*0.1)+IF(I3="High",2,IF(I3="Medium",1,0))+IF(J3="High",1.5,IF(J3="Medium",0.75,0))</f>
        <v/>
      </c>
      <c r="Q3" t="inlineStr">
        <is>
          <t>3 FTEs requested</t>
        </is>
      </c>
    </row>
    <row r="4">
      <c r="A4" t="inlineStr">
        <is>
          <t>DEC-003</t>
        </is>
      </c>
      <c r="B4" t="inlineStr">
        <is>
          <t>Sunset legacy API</t>
        </is>
      </c>
      <c r="C4" t="inlineStr">
        <is>
          <t>Technology</t>
        </is>
      </c>
      <c r="D4" t="inlineStr">
        <is>
          <t>A. Patel</t>
        </is>
      </c>
      <c r="E4" t="inlineStr">
        <is>
          <t>Deferred</t>
        </is>
      </c>
      <c r="F4" t="n">
        <v>50</v>
      </c>
      <c r="G4" t="n">
        <v>3</v>
      </c>
      <c r="H4" t="n">
        <v>1</v>
      </c>
      <c r="I4" t="inlineStr">
        <is>
          <t>Low</t>
        </is>
      </c>
      <c r="J4" t="inlineStr">
        <is>
          <t>High</t>
        </is>
      </c>
      <c r="K4" t="inlineStr">
        <is>
          <t>No active consumers in 90d</t>
        </is>
      </c>
      <c r="L4" t="inlineStr">
        <is>
          <t>Internal tooling still references v1</t>
        </is>
      </c>
      <c r="M4" t="inlineStr">
        <is>
          <t>Migration path exists</t>
        </is>
      </c>
      <c r="N4" t="inlineStr">
        <is>
          <t>2026-02-01</t>
        </is>
      </c>
      <c r="O4" t="inlineStr">
        <is>
          <t>2026-05-01</t>
        </is>
      </c>
      <c r="P4">
        <f>((G4*0.3)+((5-H4)*0.2))*(1-(F4/100)*0.1)+IF(I4="High",2,IF(I4="Medium",1,0))+IF(J4="High",1.5,IF(J4="Medium",0.75,0))</f>
        <v/>
      </c>
      <c r="Q4" t="inlineStr">
        <is>
          <t>Blocked on v2 parity</t>
        </is>
      </c>
    </row>
  </sheetData>
  <dataValidations count="4">
    <dataValidation sqref="C2:C1000" showDropDown="0" showInputMessage="1" showErrorMessage="1" allowBlank="1" errorTitle="Invalid Entry" error="Invalid value. Use the dropdown." promptTitle="Allowed Values" prompt="Select from list" type="list">
      <formula1>"Technology,Operations,Finance,Strategy,People"</formula1>
    </dataValidation>
    <dataValidation sqref="E2:E1000" showDropDown="0" showInputMessage="1" showErrorMessage="1" allowBlank="1" errorTitle="Invalid Entry" error="Invalid value. Use the dropdown." promptTitle="Allowed Values" prompt="Select from list" type="list">
      <formula1>"Active,Deferred,Closed,Superseded"</formula1>
    </dataValidation>
    <dataValidation sqref="I2:I1000" showDropDown="0" showInputMessage="1" showErrorMessage="1" allowBlank="1" errorTitle="Invalid Entry" error="Invalid value. Use the dropdown." promptTitle="Allowed Values" prompt="Select from list" type="list">
      <formula1>"Low,Medium,High"</formula1>
    </dataValidation>
    <dataValidation sqref="J2:J1000" showDropDown="0" showInputMessage="1" showErrorMessage="1" allowBlank="1" errorTitle="Invalid Entry" error="Invalid value. Use the dropdown." promptTitle="Allowed Values" prompt="Select from list" type="list">
      <formula1>"Low,Medium,High"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1" customWidth="1" min="1" max="1"/>
    <col width="40" customWidth="1" min="2" max="2"/>
    <col width="30" customWidth="1" min="3" max="3"/>
    <col width="14" customWidth="1" min="4" max="4"/>
    <col width="18" customWidth="1" min="5" max="5"/>
    <col width="27" customWidth="1" min="6" max="6"/>
    <col width="26" customWidth="1" min="7" max="7"/>
    <col width="16" customWidth="1" min="8" max="8"/>
    <col width="15" customWidth="1" min="9" max="9"/>
    <col width="40" customWidth="1" min="10" max="10"/>
    <col width="20" customWidth="1" min="11" max="11"/>
    <col width="18" customWidth="1" min="12" max="12"/>
    <col width="33" customWidth="1" min="13" max="13"/>
  </cols>
  <sheetData>
    <row r="1">
      <c r="A1" s="1" t="inlineStr">
        <is>
          <t>ClaimID</t>
        </is>
      </c>
      <c r="B1" s="1" t="inlineStr">
        <is>
          <t>Claim</t>
        </is>
      </c>
      <c r="C1" s="1" t="inlineStr">
        <is>
          <t>Source</t>
        </is>
      </c>
      <c r="D1" s="1" t="inlineStr">
        <is>
          <t>SourceType</t>
        </is>
      </c>
      <c r="E1" s="1" t="inlineStr">
        <is>
          <t>Confidence_pct</t>
        </is>
      </c>
      <c r="F1" s="1" t="inlineStr">
        <is>
          <t>EvidenceStrength_0to100</t>
        </is>
      </c>
      <c r="G1" s="1" t="inlineStr">
        <is>
          <t>CounterEvidence_0to100</t>
        </is>
      </c>
      <c r="H1" s="1" t="inlineStr">
        <is>
          <t>DateCaptured</t>
        </is>
      </c>
      <c r="I1" s="1" t="inlineStr">
        <is>
          <t>StaleDays</t>
        </is>
      </c>
      <c r="J1" s="1" t="inlineStr">
        <is>
          <t>CredibilityScore</t>
        </is>
      </c>
      <c r="K1" s="1" t="inlineStr">
        <is>
          <t>LinkedDecisionID</t>
        </is>
      </c>
      <c r="L1" s="1" t="inlineStr">
        <is>
          <t>Tags</t>
        </is>
      </c>
      <c r="M1" s="1" t="inlineStr">
        <is>
          <t>Notes</t>
        </is>
      </c>
    </row>
    <row r="2">
      <c r="A2" t="inlineStr">
        <is>
          <t>CLM-001</t>
        </is>
      </c>
      <c r="B2" t="inlineStr">
        <is>
          <t>Cloud ERP reduces operational cost by 20%</t>
        </is>
      </c>
      <c r="C2" t="inlineStr">
        <is>
          <t>Gartner 2025 Report</t>
        </is>
      </c>
      <c r="D2" t="inlineStr">
        <is>
          <t>External</t>
        </is>
      </c>
      <c r="E2" t="n">
        <v>80</v>
      </c>
      <c r="F2" t="n">
        <v>75</v>
      </c>
      <c r="G2" t="n">
        <v>20</v>
      </c>
      <c r="H2" t="inlineStr">
        <is>
          <t>2026-01-10</t>
        </is>
      </c>
      <c r="I2">
        <f>TODAY()-H2</f>
        <v/>
      </c>
      <c r="J2">
        <f>MAX(0,MIN(100, E2*(F2/100) - G2*0.5 - MIN(I2/30,20)))</f>
        <v/>
      </c>
      <c r="K2" t="inlineStr">
        <is>
          <t>DEC-001</t>
        </is>
      </c>
      <c r="L2" t="inlineStr">
        <is>
          <t>cost-reduction</t>
        </is>
      </c>
      <c r="M2" t="inlineStr">
        <is>
          <t>Validated by 2 case studies</t>
        </is>
      </c>
    </row>
    <row r="3">
      <c r="A3" t="inlineStr">
        <is>
          <t>CLM-002</t>
        </is>
      </c>
      <c r="B3" t="inlineStr">
        <is>
          <t>QA defect backlog increased 40% YoY</t>
        </is>
      </c>
      <c r="C3" t="inlineStr">
        <is>
          <t>Internal metrics dashboard</t>
        </is>
      </c>
      <c r="D3" t="inlineStr">
        <is>
          <t>Internal</t>
        </is>
      </c>
      <c r="E3" t="n">
        <v>90</v>
      </c>
      <c r="F3" t="n">
        <v>85</v>
      </c>
      <c r="G3" t="n">
        <v>10</v>
      </c>
      <c r="H3" t="inlineStr">
        <is>
          <t>2026-01-12</t>
        </is>
      </c>
      <c r="I3">
        <f>TODAY()-H3</f>
        <v/>
      </c>
      <c r="J3">
        <f>MAX(0,MIN(100, E3*(F3/100) - G3*0.5 - MIN(I3/30,20)))</f>
        <v/>
      </c>
      <c r="K3" t="inlineStr">
        <is>
          <t>DEC-002</t>
        </is>
      </c>
      <c r="L3" t="inlineStr">
        <is>
          <t>quality</t>
        </is>
      </c>
      <c r="M3" t="inlineStr">
        <is>
          <t>Confirmed via Jira export</t>
        </is>
      </c>
    </row>
    <row r="4">
      <c r="A4" t="inlineStr">
        <is>
          <t>CLM-003</t>
        </is>
      </c>
      <c r="B4" t="inlineStr">
        <is>
          <t>Legacy API has zero external consumers</t>
        </is>
      </c>
      <c r="C4" t="inlineStr">
        <is>
          <t>API gateway logs</t>
        </is>
      </c>
      <c r="D4" t="inlineStr">
        <is>
          <t>Internal</t>
        </is>
      </c>
      <c r="E4" t="n">
        <v>70</v>
      </c>
      <c r="F4" t="n">
        <v>60</v>
      </c>
      <c r="G4" t="n">
        <v>35</v>
      </c>
      <c r="H4" t="inlineStr">
        <is>
          <t>2026-02-01</t>
        </is>
      </c>
      <c r="I4">
        <f>TODAY()-H4</f>
        <v/>
      </c>
      <c r="J4">
        <f>MAX(0,MIN(100, E4*(F4/100) - G4*0.5 - MIN(I4/30,20)))</f>
        <v/>
      </c>
      <c r="K4" t="inlineStr">
        <is>
          <t>DEC-003</t>
        </is>
      </c>
      <c r="L4" t="inlineStr">
        <is>
          <t>api, sunset</t>
        </is>
      </c>
      <c r="M4" t="inlineStr">
        <is>
          <t>90-day window; verify monthly</t>
        </is>
      </c>
    </row>
    <row r="5">
      <c r="A5" t="inlineStr">
        <is>
          <t>CLM-004</t>
        </is>
      </c>
      <c r="B5" t="inlineStr">
        <is>
          <t>New ERP vendor supports SAML SSO</t>
        </is>
      </c>
      <c r="C5" t="inlineStr">
        <is>
          <t>Vendor documentation</t>
        </is>
      </c>
      <c r="D5" t="inlineStr">
        <is>
          <t>External</t>
        </is>
      </c>
      <c r="E5" t="n">
        <v>95</v>
      </c>
      <c r="F5" t="n">
        <v>90</v>
      </c>
      <c r="G5" t="n">
        <v>5</v>
      </c>
      <c r="H5" t="inlineStr">
        <is>
          <t>2026-01-20</t>
        </is>
      </c>
      <c r="I5">
        <f>TODAY()-H5</f>
        <v/>
      </c>
      <c r="J5">
        <f>MAX(0,MIN(100, E5*(F5/100) - G5*0.5 - MIN(I5/30,20)))</f>
        <v/>
      </c>
      <c r="K5" t="inlineStr">
        <is>
          <t>DEC-001</t>
        </is>
      </c>
      <c r="L5" t="inlineStr">
        <is>
          <t>security, sso</t>
        </is>
      </c>
      <c r="M5" t="inlineStr">
        <is>
          <t>Verified in sandbox</t>
        </is>
      </c>
    </row>
  </sheetData>
  <dataValidations count="1">
    <dataValidation sqref="D2:D1000" showDropDown="0" showInputMessage="1" showErrorMessage="1" allowBlank="1" errorTitle="Invalid Entry" error="Invalid value. Use the dropdown." promptTitle="Allowed Values" prompt="Select from list" type="list">
      <formula1>"Internal,External,LLM,Expert"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5" customWidth="1" min="3" max="3"/>
    <col width="11" customWidth="1" min="4" max="4"/>
    <col width="19" customWidth="1" min="5" max="5"/>
    <col width="18" customWidth="1" min="6" max="6"/>
    <col width="13" customWidth="1" min="7" max="7"/>
    <col width="14" customWidth="1" min="8" max="8"/>
    <col width="14" customWidth="1" min="9" max="9"/>
    <col width="40" customWidth="1" min="10" max="10"/>
    <col width="13" customWidth="1" min="11" max="11"/>
    <col width="29" customWidth="1" min="12" max="12"/>
  </cols>
  <sheetData>
    <row r="1">
      <c r="A1" s="1" t="inlineStr">
        <is>
          <t>PromptID</t>
        </is>
      </c>
      <c r="B1" s="1" t="inlineStr">
        <is>
          <t>PromptName</t>
        </is>
      </c>
      <c r="C1" s="1" t="inlineStr">
        <is>
          <t>Category</t>
        </is>
      </c>
      <c r="D1" s="1" t="inlineStr">
        <is>
          <t>Version</t>
        </is>
      </c>
      <c r="E1" s="1" t="inlineStr">
        <is>
          <t>SuccessRate_pct</t>
        </is>
      </c>
      <c r="F1" s="1" t="inlineStr">
        <is>
          <t>AvgRating_1to5</t>
        </is>
      </c>
      <c r="G1" s="1" t="inlineStr">
        <is>
          <t>DriftFlag</t>
        </is>
      </c>
      <c r="H1" s="1" t="inlineStr">
        <is>
          <t>UsageCount</t>
        </is>
      </c>
      <c r="I1" s="1" t="inlineStr">
        <is>
          <t>LastUsed</t>
        </is>
      </c>
      <c r="J1" s="1" t="inlineStr">
        <is>
          <t>PromptHealth</t>
        </is>
      </c>
      <c r="K1" s="1" t="inlineStr">
        <is>
          <t>Owner</t>
        </is>
      </c>
      <c r="L1" s="1" t="inlineStr">
        <is>
          <t>Notes</t>
        </is>
      </c>
    </row>
    <row r="2">
      <c r="A2" t="inlineStr">
        <is>
          <t>PRM-001</t>
        </is>
      </c>
      <c r="B2" t="inlineStr">
        <is>
          <t>Executive Analysis</t>
        </is>
      </c>
      <c r="C2" t="inlineStr">
        <is>
          <t>Decision</t>
        </is>
      </c>
      <c r="D2" t="inlineStr">
        <is>
          <t>1.2</t>
        </is>
      </c>
      <c r="E2" t="n">
        <v>82</v>
      </c>
      <c r="F2" t="n">
        <v>4.2</v>
      </c>
      <c r="G2" t="inlineStr">
        <is>
          <t>None</t>
        </is>
      </c>
      <c r="H2" t="n">
        <v>45</v>
      </c>
      <c r="I2" t="inlineStr">
        <is>
          <t>2026-02-10</t>
        </is>
      </c>
      <c r="J2">
        <f>MAX(0,MIN(100, E2*0.5 + F2*10 - IF(G2="Major",20,IF(G2="Minor",10,0))))</f>
        <v/>
      </c>
      <c r="K2" t="inlineStr">
        <is>
          <t>J. Rivera</t>
        </is>
      </c>
      <c r="L2" t="inlineStr">
        <is>
          <t>Standard executive output</t>
        </is>
      </c>
    </row>
    <row r="3">
      <c r="A3" t="inlineStr">
        <is>
          <t>PRM-002</t>
        </is>
      </c>
      <c r="B3" t="inlineStr">
        <is>
          <t>Reality Assessment</t>
        </is>
      </c>
      <c r="C3" t="inlineStr">
        <is>
          <t>Perception</t>
        </is>
      </c>
      <c r="D3" t="inlineStr">
        <is>
          <t>1.0</t>
        </is>
      </c>
      <c r="E3" t="n">
        <v>75</v>
      </c>
      <c r="F3" t="n">
        <v>3.8</v>
      </c>
      <c r="G3" t="inlineStr">
        <is>
          <t>Minor</t>
        </is>
      </c>
      <c r="H3" t="n">
        <v>30</v>
      </c>
      <c r="I3" t="inlineStr">
        <is>
          <t>2026-02-08</t>
        </is>
      </c>
      <c r="J3">
        <f>MAX(0,MIN(100, E3*0.5 + F3*10 - IF(G3="Major",20,IF(G3="Minor",10,0))))</f>
        <v/>
      </c>
      <c r="K3" t="inlineStr">
        <is>
          <t>M. Chen</t>
        </is>
      </c>
      <c r="L3" t="inlineStr">
        <is>
          <t>Needs drift review</t>
        </is>
      </c>
    </row>
    <row r="4">
      <c r="A4" t="inlineStr">
        <is>
          <t>PRM-003</t>
        </is>
      </c>
      <c r="B4" t="inlineStr">
        <is>
          <t>Team Workbook Triage</t>
        </is>
      </c>
      <c r="C4" t="inlineStr">
        <is>
          <t>Governance</t>
        </is>
      </c>
      <c r="D4" t="inlineStr">
        <is>
          <t>1.1</t>
        </is>
      </c>
      <c r="E4" t="n">
        <v>90</v>
      </c>
      <c r="F4" t="n">
        <v>4.5</v>
      </c>
      <c r="G4" t="inlineStr">
        <is>
          <t>None</t>
        </is>
      </c>
      <c r="H4" t="n">
        <v>60</v>
      </c>
      <c r="I4" t="inlineStr">
        <is>
          <t>2026-02-15</t>
        </is>
      </c>
      <c r="J4">
        <f>MAX(0,MIN(100, E4*0.5 + F4*10 - IF(G4="Major",20,IF(G4="Minor",10,0))))</f>
        <v/>
      </c>
      <c r="K4" t="inlineStr">
        <is>
          <t>A. Patel</t>
        </is>
      </c>
      <c r="L4" t="inlineStr">
        <is>
          <t>High performer</t>
        </is>
      </c>
    </row>
    <row r="5">
      <c r="A5" t="inlineStr">
        <is>
          <t>PRM-004</t>
        </is>
      </c>
      <c r="B5" t="inlineStr">
        <is>
          <t>Assumption Audit</t>
        </is>
      </c>
      <c r="C5" t="inlineStr">
        <is>
          <t>Maintenance</t>
        </is>
      </c>
      <c r="D5" t="inlineStr">
        <is>
          <t>0.9</t>
        </is>
      </c>
      <c r="E5" t="n">
        <v>65</v>
      </c>
      <c r="F5" t="n">
        <v>3.2</v>
      </c>
      <c r="G5" t="inlineStr">
        <is>
          <t>Major</t>
        </is>
      </c>
      <c r="H5" t="n">
        <v>12</v>
      </c>
      <c r="I5" t="inlineStr">
        <is>
          <t>2026-01-20</t>
        </is>
      </c>
      <c r="J5">
        <f>MAX(0,MIN(100, E5*0.5 + F5*10 - IF(G5="Major",20,IF(G5="Minor",10,0))))</f>
        <v/>
      </c>
      <c r="K5" t="inlineStr">
        <is>
          <t>J. Rivera</t>
        </is>
      </c>
      <c r="L5" t="inlineStr">
        <is>
          <t>Flagged for rewrite</t>
        </is>
      </c>
    </row>
  </sheetData>
  <dataValidations count="2">
    <dataValidation sqref="C2:C1000" showDropDown="0" showInputMessage="1" showErrorMessage="1" allowBlank="1" errorTitle="Invalid Entry" error="Invalid value. Use the dropdown." promptTitle="Allowed Values" prompt="Select from list" type="list">
      <formula1>"Decision,Perception,Governance,Maintenance,Analysis"</formula1>
    </dataValidation>
    <dataValidation sqref="G2:G1000" showDropDown="0" showInputMessage="1" showErrorMessage="1" allowBlank="1" errorTitle="Invalid Entry" error="Invalid value. Use the dropdown." promptTitle="Allowed Values" prompt="Select from list" type="list">
      <formula1>"None,Minor,Major"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20" customWidth="1" min="3" max="3"/>
    <col width="18" customWidth="1" min="4" max="4"/>
    <col width="15" customWidth="1" min="5" max="5"/>
    <col width="17" customWidth="1" min="6" max="6"/>
    <col width="14" customWidth="1" min="7" max="7"/>
    <col width="40" customWidth="1" min="8" max="8"/>
    <col width="33" customWidth="1" min="9" max="9"/>
    <col width="16" customWidth="1" min="10" max="10"/>
    <col width="10" customWidth="1" min="11" max="11"/>
    <col width="20" customWidth="1" min="12" max="12"/>
  </cols>
  <sheetData>
    <row r="1">
      <c r="A1" s="1" t="inlineStr">
        <is>
          <t>AssumptionID</t>
        </is>
      </c>
      <c r="B1" s="1" t="inlineStr">
        <is>
          <t>Assumption</t>
        </is>
      </c>
      <c r="C1" s="1" t="inlineStr">
        <is>
          <t>LinkedDecisionID</t>
        </is>
      </c>
      <c r="D1" s="1" t="inlineStr">
        <is>
          <t>Confidence_pct</t>
        </is>
      </c>
      <c r="E1" s="1" t="inlineStr">
        <is>
          <t>CreatedDate</t>
        </is>
      </c>
      <c r="F1" s="1" t="inlineStr">
        <is>
          <t>HalfLife_days</t>
        </is>
      </c>
      <c r="G1" s="1" t="inlineStr">
        <is>
          <t>ExpiryDate</t>
        </is>
      </c>
      <c r="H1" s="1" t="inlineStr">
        <is>
          <t>ExpiryRisk</t>
        </is>
      </c>
      <c r="I1" s="1" t="inlineStr">
        <is>
          <t>DisconfirmSignal</t>
        </is>
      </c>
      <c r="J1" s="1" t="inlineStr">
        <is>
          <t>LastReviewed</t>
        </is>
      </c>
      <c r="K1" s="1" t="inlineStr">
        <is>
          <t>Status</t>
        </is>
      </c>
      <c r="L1" s="1" t="inlineStr">
        <is>
          <t>Notes</t>
        </is>
      </c>
    </row>
    <row r="2">
      <c r="A2" t="inlineStr">
        <is>
          <t>ASM-001</t>
        </is>
      </c>
      <c r="B2" t="inlineStr">
        <is>
          <t>Budget approved for Q1 cloud migration</t>
        </is>
      </c>
      <c r="C2" t="inlineStr">
        <is>
          <t>DEC-001</t>
        </is>
      </c>
      <c r="D2" t="n">
        <v>80</v>
      </c>
      <c r="E2" t="inlineStr">
        <is>
          <t>2026-01-10</t>
        </is>
      </c>
      <c r="F2" t="n">
        <v>90</v>
      </c>
      <c r="G2">
        <f>E2+F2</f>
        <v/>
      </c>
      <c r="H2">
        <f>IF(G2&lt;TODAY(),"RED",IF(G2&lt;TODAY()+14,"YELLOW","GREEN"))</f>
        <v/>
      </c>
      <c r="I2" t="inlineStr">
        <is>
          <t>CFO budget revision</t>
        </is>
      </c>
      <c r="J2" t="inlineStr">
        <is>
          <t>2026-02-01</t>
        </is>
      </c>
      <c r="K2" t="inlineStr">
        <is>
          <t>Active</t>
        </is>
      </c>
      <c r="L2" t="inlineStr">
        <is>
          <t>Re-verify March</t>
        </is>
      </c>
    </row>
    <row r="3">
      <c r="A3" t="inlineStr">
        <is>
          <t>ASM-002</t>
        </is>
      </c>
      <c r="B3" t="inlineStr">
        <is>
          <t>Hiring freeze lifted permanently</t>
        </is>
      </c>
      <c r="C3" t="inlineStr">
        <is>
          <t>DEC-002</t>
        </is>
      </c>
      <c r="D3" t="n">
        <v>60</v>
      </c>
      <c r="E3" t="inlineStr">
        <is>
          <t>2026-01-15</t>
        </is>
      </c>
      <c r="F3" t="n">
        <v>60</v>
      </c>
      <c r="G3">
        <f>E3+F3</f>
        <v/>
      </c>
      <c r="H3">
        <f>IF(G3&lt;TODAY(),"RED",IF(G3&lt;TODAY()+14,"YELLOW","GREEN"))</f>
        <v/>
      </c>
      <c r="I3" t="inlineStr">
        <is>
          <t>HR policy change announcement</t>
        </is>
      </c>
      <c r="J3" t="inlineStr">
        <is>
          <t>2026-02-10</t>
        </is>
      </c>
      <c r="K3" t="inlineStr">
        <is>
          <t>Active</t>
        </is>
      </c>
      <c r="L3" t="inlineStr">
        <is>
          <t>Fragile</t>
        </is>
      </c>
    </row>
    <row r="4">
      <c r="A4" t="inlineStr">
        <is>
          <t>ASM-003</t>
        </is>
      </c>
      <c r="B4" t="inlineStr">
        <is>
          <t>Legacy API migration path is complete</t>
        </is>
      </c>
      <c r="C4" t="inlineStr">
        <is>
          <t>DEC-003</t>
        </is>
      </c>
      <c r="D4" t="n">
        <v>50</v>
      </c>
      <c r="E4" t="inlineStr">
        <is>
          <t>2026-02-01</t>
        </is>
      </c>
      <c r="F4" t="n">
        <v>45</v>
      </c>
      <c r="G4">
        <f>E4+F4</f>
        <v/>
      </c>
      <c r="H4">
        <f>IF(G4&lt;TODAY(),"RED",IF(G4&lt;TODAY()+14,"YELLOW","GREEN"))</f>
        <v/>
      </c>
      <c r="I4" t="inlineStr">
        <is>
          <t>v2 parity test failure</t>
        </is>
      </c>
      <c r="J4" t="inlineStr">
        <is>
          <t>2026-02-15</t>
        </is>
      </c>
      <c r="K4" t="inlineStr">
        <is>
          <t>Active</t>
        </is>
      </c>
      <c r="L4" t="inlineStr">
        <is>
          <t>Needs validation</t>
        </is>
      </c>
    </row>
    <row r="5">
      <c r="A5" t="inlineStr">
        <is>
          <t>ASM-004</t>
        </is>
      </c>
      <c r="B5" t="inlineStr">
        <is>
          <t>Vendor SSO integration stable</t>
        </is>
      </c>
      <c r="C5" t="inlineStr">
        <is>
          <t>DEC-001</t>
        </is>
      </c>
      <c r="D5" t="n">
        <v>90</v>
      </c>
      <c r="E5" t="inlineStr">
        <is>
          <t>2026-01-20</t>
        </is>
      </c>
      <c r="F5" t="n">
        <v>180</v>
      </c>
      <c r="G5">
        <f>E5+F5</f>
        <v/>
      </c>
      <c r="H5">
        <f>IF(G5&lt;TODAY(),"RED",IF(G5&lt;TODAY()+14,"YELLOW","GREEN"))</f>
        <v/>
      </c>
      <c r="I5" t="inlineStr">
        <is>
          <t>Auth failure rate &gt; 1%</t>
        </is>
      </c>
      <c r="J5" t="inlineStr">
        <is>
          <t>2026-02-12</t>
        </is>
      </c>
      <c r="K5" t="inlineStr">
        <is>
          <t>Active</t>
        </is>
      </c>
      <c r="L5" t="inlineStr">
        <is>
          <t>Low risk</t>
        </is>
      </c>
    </row>
  </sheetData>
  <dataValidations count="2">
    <dataValidation sqref="H2:H1000" showDropDown="0" showInputMessage="1" showErrorMessage="1" allowBlank="1" errorTitle="Invalid Entry" error="Invalid value. Use the dropdown." promptTitle="Allowed Values" prompt="Select from list" type="list">
      <formula1>"RED,YELLOW,GREEN"</formula1>
    </dataValidation>
    <dataValidation sqref="K2:K1000" showDropDown="0" showInputMessage="1" showErrorMessage="1" allowBlank="1" errorTitle="Invalid Entry" error="Invalid value. Use the dropdown." promptTitle="Allowed Values" prompt="Select from list" type="list">
      <formula1>"Active,Expired,Validated,Invalidated"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40" customWidth="1" min="4" max="4"/>
    <col width="16" customWidth="1" min="5" max="5"/>
    <col width="15" customWidth="1" min="6" max="6"/>
    <col width="12" customWidth="1" min="7" max="7"/>
    <col width="15" customWidth="1" min="8" max="8"/>
    <col width="16" customWidth="1" min="9" max="9"/>
    <col width="29" customWidth="1" min="10" max="10"/>
    <col width="36" customWidth="1" min="11" max="11"/>
  </cols>
  <sheetData>
    <row r="1">
      <c r="A1" s="1" t="inlineStr">
        <is>
          <t>PatchID</t>
        </is>
      </c>
      <c r="B1" s="1" t="inlineStr">
        <is>
          <t>TriggerType</t>
        </is>
      </c>
      <c r="C1" s="1" t="inlineStr">
        <is>
          <t>TriggerID</t>
        </is>
      </c>
      <c r="D1" s="1" t="inlineStr">
        <is>
          <t>Description</t>
        </is>
      </c>
      <c r="E1" s="1" t="inlineStr">
        <is>
          <t>Severity_GYR</t>
        </is>
      </c>
      <c r="F1" s="1" t="inlineStr">
        <is>
          <t>Status</t>
        </is>
      </c>
      <c r="G1" s="1" t="inlineStr">
        <is>
          <t>Owner</t>
        </is>
      </c>
      <c r="H1" s="1" t="inlineStr">
        <is>
          <t>DateCreated</t>
        </is>
      </c>
      <c r="I1" s="1" t="inlineStr">
        <is>
          <t>DateResolved</t>
        </is>
      </c>
      <c r="J1" s="1" t="inlineStr">
        <is>
          <t>Resolution</t>
        </is>
      </c>
      <c r="K1" s="1" t="inlineStr">
        <is>
          <t>Notes</t>
        </is>
      </c>
    </row>
    <row r="2">
      <c r="A2" t="inlineStr">
        <is>
          <t>PAT-001</t>
        </is>
      </c>
      <c r="B2" t="inlineStr">
        <is>
          <t>Drift</t>
        </is>
      </c>
      <c r="C2" t="inlineStr">
        <is>
          <t>ASM-002</t>
        </is>
      </c>
      <c r="D2" t="inlineStr">
        <is>
          <t>Hiring freeze may be re-imposed</t>
        </is>
      </c>
      <c r="E2" t="inlineStr">
        <is>
          <t>YELLOW</t>
        </is>
      </c>
      <c r="F2" t="inlineStr">
        <is>
          <t>Open</t>
        </is>
      </c>
      <c r="G2" t="inlineStr">
        <is>
          <t>M. Chen</t>
        </is>
      </c>
      <c r="H2" t="inlineStr">
        <is>
          <t>2026-02-10</t>
        </is>
      </c>
      <c r="K2" t="inlineStr">
        <is>
          <t>Monitor HR announcements</t>
        </is>
      </c>
    </row>
    <row r="3">
      <c r="A3" t="inlineStr">
        <is>
          <t>PAT-002</t>
        </is>
      </c>
      <c r="B3" t="inlineStr">
        <is>
          <t>Drift</t>
        </is>
      </c>
      <c r="C3" t="inlineStr">
        <is>
          <t>CLM-003</t>
        </is>
      </c>
      <c r="D3" t="inlineStr">
        <is>
          <t>Legacy API consumer found in logging service</t>
        </is>
      </c>
      <c r="E3" t="inlineStr">
        <is>
          <t>RED</t>
        </is>
      </c>
      <c r="F3" t="inlineStr">
        <is>
          <t>Open</t>
        </is>
      </c>
      <c r="G3" t="inlineStr">
        <is>
          <t>A. Patel</t>
        </is>
      </c>
      <c r="H3" t="inlineStr">
        <is>
          <t>2026-02-12</t>
        </is>
      </c>
      <c r="K3" t="inlineStr">
        <is>
          <t>Escalated to architecture review</t>
        </is>
      </c>
    </row>
    <row r="4">
      <c r="A4" t="inlineStr">
        <is>
          <t>PAT-003</t>
        </is>
      </c>
      <c r="B4" t="inlineStr">
        <is>
          <t>Expiry</t>
        </is>
      </c>
      <c r="C4" t="inlineStr">
        <is>
          <t>ASM-003</t>
        </is>
      </c>
      <c r="D4" t="inlineStr">
        <is>
          <t>Migration path assumption near expiry</t>
        </is>
      </c>
      <c r="E4" t="inlineStr">
        <is>
          <t>YELLOW</t>
        </is>
      </c>
      <c r="F4" t="inlineStr">
        <is>
          <t>In Progress</t>
        </is>
      </c>
      <c r="G4" t="inlineStr">
        <is>
          <t>A. Patel</t>
        </is>
      </c>
      <c r="H4" t="inlineStr">
        <is>
          <t>2026-02-15</t>
        </is>
      </c>
      <c r="J4" t="inlineStr">
        <is>
          <t>Scheduling v2 parity test</t>
        </is>
      </c>
      <c r="K4" t="inlineStr">
        <is>
          <t>ETA 2026-02-28</t>
        </is>
      </c>
    </row>
  </sheetData>
  <dataValidations count="3">
    <dataValidation sqref="B2:B1000" showDropDown="0" showInputMessage="1" showErrorMessage="1" allowBlank="1" errorTitle="Invalid Entry" error="Invalid value. Use the dropdown." promptTitle="Allowed Values" prompt="Select from list" type="list">
      <formula1>"Drift,Expiry,Manual,LLM"</formula1>
    </dataValidation>
    <dataValidation sqref="E2:E1000" showDropDown="0" showInputMessage="1" showErrorMessage="1" allowBlank="1" errorTitle="Invalid Entry" error="Invalid value. Use the dropdown." promptTitle="Allowed Values" prompt="Select from list" type="list">
      <formula1>"GREEN,YELLOW,RED"</formula1>
    </dataValidation>
    <dataValidation sqref="F2:F1000" showDropDown="0" showInputMessage="1" showErrorMessage="1" allowBlank="1" errorTitle="Invalid Entry" error="Invalid value. Use the dropdown." promptTitle="Allowed Values" prompt="Select from list" type="list">
      <formula1>"Open,In Progress,Resolved,Wont Fix"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7" customWidth="1" min="3" max="3"/>
    <col width="40" customWidth="1" min="4" max="4"/>
    <col width="40" customWidth="1" min="5" max="5"/>
    <col width="40" customWidth="1" min="6" max="6"/>
    <col width="26" customWidth="1" min="7" max="7"/>
    <col width="25" customWidth="1" min="8" max="8"/>
    <col width="18" customWidth="1" min="9" max="9"/>
    <col width="13" customWidth="1" min="10" max="10"/>
    <col width="22" customWidth="1" min="11" max="11"/>
  </cols>
  <sheetData>
    <row r="1">
      <c r="A1" s="1" t="inlineStr">
        <is>
          <t>RunID</t>
        </is>
      </c>
      <c r="B1" s="1" t="inlineStr">
        <is>
          <t>SessionDate</t>
        </is>
      </c>
      <c r="C1" s="1" t="inlineStr">
        <is>
          <t>Model</t>
        </is>
      </c>
      <c r="D1" s="1" t="inlineStr">
        <is>
          <t>TopActions</t>
        </is>
      </c>
      <c r="E1" s="1" t="inlineStr">
        <is>
          <t>TopRisks</t>
        </is>
      </c>
      <c r="F1" s="1" t="inlineStr">
        <is>
          <t>SuggestedUpdates</t>
        </is>
      </c>
      <c r="G1" s="1" t="inlineStr">
        <is>
          <t>SealHash</t>
        </is>
      </c>
      <c r="H1" s="1" t="inlineStr">
        <is>
          <t>SummaryConfidence_pct</t>
        </is>
      </c>
      <c r="I1" s="1" t="inlineStr">
        <is>
          <t>NextReviewDate</t>
        </is>
      </c>
      <c r="J1" s="1" t="inlineStr">
        <is>
          <t>Operator</t>
        </is>
      </c>
      <c r="K1" s="1" t="inlineStr">
        <is>
          <t>Notes</t>
        </is>
      </c>
    </row>
    <row r="2">
      <c r="A2" t="inlineStr">
        <is>
          <t>RUN-001</t>
        </is>
      </c>
      <c r="B2" t="inlineStr">
        <is>
          <t>2026-02-15</t>
        </is>
      </c>
      <c r="C2" t="inlineStr">
        <is>
          <t>gpt-4o</t>
        </is>
      </c>
      <c r="D2" t="inlineStr">
        <is>
          <t>1) Validate ERP vendor SSO; 2) Re-check hiring freeze; 3) Test v2 parity</t>
        </is>
      </c>
      <c r="E2" t="inlineStr">
        <is>
          <t>1) Budget reversal; 2) Legacy API consumer discovered; 3) Assumption staleness</t>
        </is>
      </c>
      <c r="F2" t="inlineStr">
        <is>
          <t>Update CLM-003 confidence; Flag ASM-002 for re-review</t>
        </is>
      </c>
      <c r="G2" t="inlineStr">
        <is>
          <t>sha256:a1b2c3d4e5f6...</t>
        </is>
      </c>
      <c r="H2" t="inlineStr">
        <is>
          <t>78</t>
        </is>
      </c>
      <c r="I2" t="inlineStr">
        <is>
          <t>2026-02-22</t>
        </is>
      </c>
      <c r="J2" t="inlineStr">
        <is>
          <t>J. Rivera</t>
        </is>
      </c>
      <c r="K2" t="inlineStr">
        <is>
          <t>Weekly triage run</t>
        </is>
      </c>
    </row>
    <row r="3">
      <c r="A3" t="inlineStr">
        <is>
          <t>RUN-002</t>
        </is>
      </c>
      <c r="B3" t="inlineStr">
        <is>
          <t>2026-02-18</t>
        </is>
      </c>
      <c r="C3" t="inlineStr">
        <is>
          <t>claude-opus-4</t>
        </is>
      </c>
      <c r="D3" t="inlineStr">
        <is>
          <t>1) Close PAT-002 investigation; 2) Schedule assumption audit; 3) Update dashboard</t>
        </is>
      </c>
      <c r="E3" t="inlineStr">
        <is>
          <t>1) v2 parity gap; 2) QA backlog acceleration; 3) Drift accumulation</t>
        </is>
      </c>
      <c r="F3" t="inlineStr">
        <is>
          <t>Add new claim for v2 test results; Update ASM-003 confidence</t>
        </is>
      </c>
      <c r="G3" t="inlineStr">
        <is>
          <t>sha256:f6e5d4c3b2a1...</t>
        </is>
      </c>
      <c r="H3" t="inlineStr">
        <is>
          <t>72</t>
        </is>
      </c>
      <c r="I3" t="inlineStr">
        <is>
          <t>2026-02-25</t>
        </is>
      </c>
      <c r="J3" t="inlineStr">
        <is>
          <t>M. Chen</t>
        </is>
      </c>
      <c r="K3" t="inlineStr">
        <is>
          <t>Mid-week follow-up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11" customWidth="1" min="3" max="3"/>
    <col width="15" customWidth="1" min="4" max="4"/>
  </cols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Formula</t>
        </is>
      </c>
      <c r="D1" s="1" t="inlineStr">
        <is>
          <t>LastUpdated</t>
        </is>
      </c>
    </row>
    <row r="2">
      <c r="A2" t="inlineStr">
        <is>
          <t>Total Active Decisions</t>
        </is>
      </c>
      <c r="B2">
        <f>COUNTIF(DecisionLogTable[Status],"Active")</f>
        <v/>
      </c>
      <c r="D2" t="inlineStr">
        <is>
          <t>2026-02-18</t>
        </is>
      </c>
    </row>
    <row r="3">
      <c r="A3" t="inlineStr">
        <is>
          <t>Avg Decision Confidence</t>
        </is>
      </c>
      <c r="B3">
        <f>AVERAGE(DecisionLogTable[Confidence_pct])</f>
        <v/>
      </c>
      <c r="D3" t="inlineStr">
        <is>
          <t>2026-02-18</t>
        </is>
      </c>
    </row>
    <row r="4">
      <c r="A4" t="inlineStr">
        <is>
          <t>Claims Below Credibility 60</t>
        </is>
      </c>
      <c r="B4">
        <f>COUNTIF(AtomicClaimsTable[CredibilityScore],"&lt;60")</f>
        <v/>
      </c>
      <c r="D4" t="inlineStr">
        <is>
          <t>2026-02-18</t>
        </is>
      </c>
    </row>
    <row r="5">
      <c r="A5" t="inlineStr">
        <is>
          <t>Expired Assumptions (RED)</t>
        </is>
      </c>
      <c r="B5">
        <f>COUNTIF(AssumptionsTable[ExpiryRisk],"RED")</f>
        <v/>
      </c>
      <c r="D5" t="inlineStr">
        <is>
          <t>2026-02-18</t>
        </is>
      </c>
    </row>
    <row r="6">
      <c r="A6" t="inlineStr">
        <is>
          <t>Open Patches</t>
        </is>
      </c>
      <c r="B6">
        <f>COUNTIF(PatchLogTable[Status],"Open")</f>
        <v/>
      </c>
      <c r="D6" t="inlineStr">
        <is>
          <t>2026-02-18</t>
        </is>
      </c>
    </row>
    <row r="7">
      <c r="A7" t="inlineStr">
        <is>
          <t>RED Severity Patches</t>
        </is>
      </c>
      <c r="B7">
        <f>COUNTIF(PatchLogTable[Severity_GYR],"RED")</f>
        <v/>
      </c>
      <c r="D7" t="inlineStr">
        <is>
          <t>2026-02-18</t>
        </is>
      </c>
    </row>
    <row r="8">
      <c r="A8" t="inlineStr">
        <is>
          <t>Avg Prompt Health</t>
        </is>
      </c>
      <c r="B8">
        <f>AVERAGE(PromptLibraryTable[PromptHealth])</f>
        <v/>
      </c>
      <c r="D8" t="inlineStr">
        <is>
          <t>2026-02-18</t>
        </is>
      </c>
    </row>
    <row r="9">
      <c r="A9" t="inlineStr">
        <is>
          <t>Prompts with Major Drift</t>
        </is>
      </c>
      <c r="B9">
        <f>COUNTIF(PromptLibraryTable[DriftFlag],"Major")</f>
        <v/>
      </c>
      <c r="D9" t="inlineStr">
        <is>
          <t>2026-02-18</t>
        </is>
      </c>
    </row>
    <row r="10">
      <c r="A10" t="inlineStr">
        <is>
          <t>Last LLM Run Confidence</t>
        </is>
      </c>
      <c r="D10" t="inlineStr">
        <is>
          <t>2026-02-18</t>
        </is>
      </c>
    </row>
    <row r="11">
      <c r="A11" t="inlineStr">
        <is>
          <t>Total LLM Runs</t>
        </is>
      </c>
      <c r="B11">
        <f>COUNTA(LLMOutputTable[RunID])</f>
        <v/>
      </c>
      <c r="D11" t="inlineStr">
        <is>
          <t>2026-02-18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7" customWidth="1" min="3" max="3"/>
    <col width="17" customWidth="1" min="4" max="4"/>
    <col width="22" customWidth="1" min="5" max="5"/>
    <col width="15" customWidth="1" min="6" max="6"/>
    <col width="14" customWidth="1" min="7" max="7"/>
    <col width="19" customWidth="1" min="8" max="8"/>
    <col width="40" customWidth="1" min="9" max="9"/>
  </cols>
  <sheetData>
    <row r="1">
      <c r="A1" s="1" t="inlineStr">
        <is>
          <t>WeekEnding</t>
        </is>
      </c>
      <c r="B1" s="1" t="inlineStr">
        <is>
          <t>ActiveDecisions</t>
        </is>
      </c>
      <c r="C1" s="1" t="inlineStr">
        <is>
          <t>AvgConfidence</t>
        </is>
      </c>
      <c r="D1" s="1" t="inlineStr">
        <is>
          <t>LowCredClaims</t>
        </is>
      </c>
      <c r="E1" s="1" t="inlineStr">
        <is>
          <t>ExpiredAssumptions</t>
        </is>
      </c>
      <c r="F1" s="1" t="inlineStr">
        <is>
          <t>OpenPatches</t>
        </is>
      </c>
      <c r="G1" s="1" t="inlineStr">
        <is>
          <t>REDPatches</t>
        </is>
      </c>
      <c r="H1" s="1" t="inlineStr">
        <is>
          <t>AvgPromptHealth</t>
        </is>
      </c>
      <c r="I1" s="1" t="inlineStr">
        <is>
          <t>Notes</t>
        </is>
      </c>
    </row>
    <row r="2">
      <c r="A2" t="inlineStr">
        <is>
          <t>2026-02-07</t>
        </is>
      </c>
      <c r="B2" t="n">
        <v>2</v>
      </c>
      <c r="C2" t="n">
        <v>68</v>
      </c>
      <c r="D2" t="n">
        <v>1</v>
      </c>
      <c r="E2" t="n">
        <v>0</v>
      </c>
      <c r="F2" t="n">
        <v>1</v>
      </c>
      <c r="G2" t="n">
        <v>0</v>
      </c>
      <c r="H2" t="n">
        <v>74</v>
      </c>
      <c r="I2" t="inlineStr">
        <is>
          <t>Baseline week</t>
        </is>
      </c>
    </row>
    <row r="3">
      <c r="A3" t="inlineStr">
        <is>
          <t>2026-02-14</t>
        </is>
      </c>
      <c r="B3" t="n">
        <v>3</v>
      </c>
      <c r="C3" t="n">
        <v>62</v>
      </c>
      <c r="D3" t="n">
        <v>2</v>
      </c>
      <c r="E3" t="n">
        <v>0</v>
      </c>
      <c r="F3" t="n">
        <v>2</v>
      </c>
      <c r="G3" t="n">
        <v>1</v>
      </c>
      <c r="H3" t="n">
        <v>71</v>
      </c>
      <c r="I3" t="inlineStr">
        <is>
          <t>Added DEC-003; new drift detected</t>
        </is>
      </c>
    </row>
    <row r="4">
      <c r="A4" t="inlineStr">
        <is>
          <t>2026-02-21</t>
        </is>
      </c>
      <c r="B4" t="n">
        <v>3</v>
      </c>
      <c r="C4" t="n">
        <v>62</v>
      </c>
      <c r="D4" t="n">
        <v>2</v>
      </c>
      <c r="E4" t="n">
        <v>1</v>
      </c>
      <c r="F4" t="n">
        <v>3</v>
      </c>
      <c r="G4" t="n">
        <v>1</v>
      </c>
      <c r="H4" t="n">
        <v>69</v>
      </c>
      <c r="I4" t="inlineStr">
        <is>
          <t>ASM-003 approaching expiry; PAT-003 opened</t>
        </is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1" customWidth="1" min="1" max="1"/>
    <col width="34" customWidth="1" min="2" max="2"/>
    <col width="40" customWidth="1" min="3" max="3"/>
    <col width="27" customWidth="1" min="4" max="4"/>
    <col width="40" customWidth="1" min="5" max="5"/>
    <col width="37" customWidth="1" min="6" max="6"/>
    <col width="39" customWidth="1" min="7" max="7"/>
    <col width="40" customWidth="1" min="8" max="8"/>
    <col width="22" customWidth="1" min="9" max="9"/>
    <col width="22" customWidth="1" min="10" max="10"/>
    <col width="28" customWidth="1" min="11" max="11"/>
    <col width="40" customWidth="1" min="12" max="12"/>
    <col width="15" customWidth="1" min="13" max="13"/>
    <col width="20" customWidth="1" min="14" max="14"/>
  </cols>
  <sheetData>
    <row r="1">
      <c r="A1" s="1" t="inlineStr">
        <is>
          <t>CheckID</t>
        </is>
      </c>
      <c r="B1" s="1" t="inlineStr">
        <is>
          <t>Question</t>
        </is>
      </c>
      <c r="C1" s="1" t="inlineStr">
        <is>
          <t>ObservableFact</t>
        </is>
      </c>
      <c r="D1" s="1" t="inlineStr">
        <is>
          <t>Narrative</t>
        </is>
      </c>
      <c r="E1" s="1" t="inlineStr">
        <is>
          <t>Assumption</t>
        </is>
      </c>
      <c r="F1" s="1" t="inlineStr">
        <is>
          <t>CounterEvidence</t>
        </is>
      </c>
      <c r="G1" s="1" t="inlineStr">
        <is>
          <t>DisconfirmCriteria</t>
        </is>
      </c>
      <c r="H1" s="1" t="inlineStr">
        <is>
          <t>SimplestExplanation</t>
        </is>
      </c>
      <c r="I1" s="1" t="inlineStr">
        <is>
          <t>EmotionalBias</t>
        </is>
      </c>
      <c r="J1" s="1" t="inlineStr">
        <is>
          <t>DriftType</t>
        </is>
      </c>
      <c r="K1" s="1" t="inlineStr">
        <is>
          <t>WaitTest</t>
        </is>
      </c>
      <c r="L1" s="1" t="inlineStr">
        <is>
          <t>GroundedDecision</t>
        </is>
      </c>
      <c r="M1" s="1" t="inlineStr">
        <is>
          <t>DateChecked</t>
        </is>
      </c>
      <c r="N1" s="1" t="inlineStr">
        <is>
          <t>LinkedDecisionID</t>
        </is>
      </c>
    </row>
    <row r="2">
      <c r="A2" t="inlineStr">
        <is>
          <t>RC-001</t>
        </is>
      </c>
      <c r="B2" t="inlineStr">
        <is>
          <t>Is the ERP migration on track?</t>
        </is>
      </c>
      <c r="C2" t="inlineStr">
        <is>
          <t>Vendor sandbox passed SSO test</t>
        </is>
      </c>
      <c r="D2" t="inlineStr">
        <is>
          <t>We're ahead of schedule</t>
        </is>
      </c>
      <c r="E2" t="inlineStr">
        <is>
          <t>Budget stays approved</t>
        </is>
      </c>
      <c r="F2" t="inlineStr">
        <is>
          <t>Integration team capacity unknown</t>
        </is>
      </c>
      <c r="G2" t="inlineStr">
        <is>
          <t>Missed milestone by 2+ weeks</t>
        </is>
      </c>
      <c r="H2" t="inlineStr">
        <is>
          <t>Early stages; too soon to judge pace</t>
        </is>
      </c>
      <c r="I2" t="inlineStr">
        <is>
          <t>Optimism bias</t>
        </is>
      </c>
      <c r="J2" t="inlineStr">
        <is>
          <t>Urgency illusion</t>
        </is>
      </c>
      <c r="K2" t="inlineStr">
        <is>
          <t>Status unchanged in 48h</t>
        </is>
      </c>
      <c r="L2" t="inlineStr">
        <is>
          <t>Proceed with Phase 1; re-evaluate at milestone 2</t>
        </is>
      </c>
      <c r="M2" t="inlineStr">
        <is>
          <t>2026-02-15</t>
        </is>
      </c>
      <c r="N2" t="inlineStr">
        <is>
          <t>DEC-001</t>
        </is>
      </c>
    </row>
    <row r="3">
      <c r="A3" t="inlineStr">
        <is>
          <t>RC-002</t>
        </is>
      </c>
      <c r="B3" t="inlineStr">
        <is>
          <t>Is QA headcount the right fix?</t>
        </is>
      </c>
      <c r="C3" t="inlineStr">
        <is>
          <t>Defect rate up 40%; 3 critical bugs open</t>
        </is>
      </c>
      <c r="D3" t="inlineStr">
        <is>
          <t>We need more people</t>
        </is>
      </c>
      <c r="E3" t="inlineStr">
        <is>
          <t>Adding FTEs reduces backlog linearly</t>
        </is>
      </c>
      <c r="F3" t="inlineStr">
        <is>
          <t>Process issues may dominate</t>
        </is>
      </c>
      <c r="G3" t="inlineStr">
        <is>
          <t>Defect rate unchanged after 2 hires</t>
        </is>
      </c>
      <c r="H3" t="inlineStr">
        <is>
          <t>Backlog is process + capacity problem</t>
        </is>
      </c>
      <c r="I3" t="inlineStr">
        <is>
          <t>Scarcity narrative</t>
        </is>
      </c>
      <c r="J3" t="inlineStr">
        <is>
          <t>Pattern projection</t>
        </is>
      </c>
      <c r="K3" t="inlineStr">
        <is>
          <t>Backlog trend in 2 weeks</t>
        </is>
      </c>
      <c r="L3" t="inlineStr">
        <is>
          <t>Hire 1 FTE + process audit before committing to 3</t>
        </is>
      </c>
      <c r="M3" t="inlineStr">
        <is>
          <t>2026-02-16</t>
        </is>
      </c>
      <c r="N3" t="inlineStr">
        <is>
          <t>DEC-002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40" customWidth="1" min="3" max="3"/>
    <col width="40" customWidth="1" min="4" max="4"/>
    <col width="15" customWidth="1" min="5" max="5"/>
    <col width="36" customWidth="1" min="6" max="6"/>
    <col width="18" customWidth="1" min="7" max="7"/>
    <col width="28" customWidth="1" min="8" max="8"/>
    <col width="22" customWidth="1" min="9" max="9"/>
    <col width="20" customWidth="1" min="10" max="10"/>
    <col width="15" customWidth="1" min="11" max="11"/>
    <col width="19" customWidth="1" min="12" max="12"/>
    <col width="21" customWidth="1" min="13" max="13"/>
    <col width="26" customWidth="1" min="14" max="14"/>
    <col width="15" customWidth="1" min="15" max="15"/>
    <col width="40" customWidth="1" min="16" max="16"/>
    <col width="15" customWidth="1" min="17" max="17"/>
    <col width="20" customWidth="1" min="18" max="18"/>
  </cols>
  <sheetData>
    <row r="1">
      <c r="A1" s="1" t="inlineStr">
        <is>
          <t>AnalysisID</t>
        </is>
      </c>
      <c r="B1" s="1" t="inlineStr">
        <is>
          <t>Objective</t>
        </is>
      </c>
      <c r="C1" s="1" t="inlineStr">
        <is>
          <t>Context</t>
        </is>
      </c>
      <c r="D1" s="1" t="inlineStr">
        <is>
          <t>Constraints</t>
        </is>
      </c>
      <c r="E1" s="1" t="inlineStr">
        <is>
          <t>TimeHorizon</t>
        </is>
      </c>
      <c r="F1" s="1" t="inlineStr">
        <is>
          <t>RecommendedAction</t>
        </is>
      </c>
      <c r="G1" s="1" t="inlineStr">
        <is>
          <t>Confidence_pct</t>
        </is>
      </c>
      <c r="H1" s="1" t="inlineStr">
        <is>
          <t>ExpectedImpact</t>
        </is>
      </c>
      <c r="I1" s="1" t="inlineStr">
        <is>
          <t>Reversibility_1to5</t>
        </is>
      </c>
      <c r="J1" s="1" t="inlineStr">
        <is>
          <t>BlastRadius_1to5</t>
        </is>
      </c>
      <c r="K1" s="1" t="inlineStr">
        <is>
          <t>CostOfDelay</t>
        </is>
      </c>
      <c r="L1" s="1" t="inlineStr">
        <is>
          <t>CompressionRisk</t>
        </is>
      </c>
      <c r="M1" s="1" t="inlineStr">
        <is>
          <t>OptionA</t>
        </is>
      </c>
      <c r="N1" s="1" t="inlineStr">
        <is>
          <t>OptionB</t>
        </is>
      </c>
      <c r="O1" s="1" t="inlineStr">
        <is>
          <t>OptionC</t>
        </is>
      </c>
      <c r="P1" s="1" t="inlineStr">
        <is>
          <t>Next3Actions</t>
        </is>
      </c>
      <c r="Q1" s="1" t="inlineStr">
        <is>
          <t>DateCreated</t>
        </is>
      </c>
      <c r="R1" s="1" t="inlineStr">
        <is>
          <t>LinkedDecisionID</t>
        </is>
      </c>
    </row>
    <row r="2">
      <c r="A2" t="inlineStr">
        <is>
          <t>EXE-001</t>
        </is>
      </c>
      <c r="B2" t="inlineStr">
        <is>
          <t>Determine ERP migration timing</t>
        </is>
      </c>
      <c r="C2" t="inlineStr">
        <is>
          <t>Cloud ERP vendor selected; sandbox validated; budget Q1-approved</t>
        </is>
      </c>
      <c r="D2" t="inlineStr">
        <is>
          <t>Q2 budget lock; integration team at 80% capacity</t>
        </is>
      </c>
      <c r="E2" t="inlineStr">
        <is>
          <t>6 months</t>
        </is>
      </c>
      <c r="F2" t="inlineStr">
        <is>
          <t>Begin Phase 1 migration in March</t>
        </is>
      </c>
      <c r="G2" t="inlineStr">
        <is>
          <t>75</t>
        </is>
      </c>
      <c r="H2" t="inlineStr">
        <is>
          <t>20% cost reduction by Q4</t>
        </is>
      </c>
      <c r="I2" t="n">
        <v>2</v>
      </c>
      <c r="J2" t="n">
        <v>4</v>
      </c>
      <c r="K2" t="inlineStr">
        <is>
          <t>High</t>
        </is>
      </c>
      <c r="L2" t="inlineStr">
        <is>
          <t>Medium</t>
        </is>
      </c>
      <c r="M2" t="inlineStr">
        <is>
          <t>Full migration Q1</t>
        </is>
      </c>
      <c r="N2" t="inlineStr">
        <is>
          <t>Phased migration Q1-Q2</t>
        </is>
      </c>
      <c r="O2" t="inlineStr">
        <is>
          <t>Defer to Q3</t>
        </is>
      </c>
      <c r="P2" t="inlineStr">
        <is>
          <t>1) Finalize SOW with vendor; 2) Stand up integration env; 3) Confirm budget with CFO</t>
        </is>
      </c>
      <c r="Q2" t="inlineStr">
        <is>
          <t>2026-02-15</t>
        </is>
      </c>
      <c r="R2" t="inlineStr">
        <is>
          <t>DEC-001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2026-02-21T13:51:41Z</dcterms:created>
  <dcterms:modified xmlns:dcterms="http://purl.org/dc/terms/" xmlns:xsi="http://www.w3.org/2001/XMLSchema-instance" xsi:type="dcterms:W3CDTF">2026-02-21T14:39:54Z</dcterms:modified>
</cp:coreProperties>
</file>