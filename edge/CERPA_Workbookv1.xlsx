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laims" sheetId="2" r:id="rId5"/>
    <sheet state="visible" name="Events" sheetId="3" r:id="rId6"/>
    <sheet state="visible" name="Reviews" sheetId="4" r:id="rId7"/>
    <sheet state="visible" name="Patches" sheetId="5" r:id="rId8"/>
    <sheet state="visible" name="Apply" sheetId="6" r:id="rId9"/>
  </sheets>
  <definedNames>
    <definedName hidden="1" localSheetId="1" name="_xlnm._FilterDatabase">Claims!$A$1:$G$31</definedName>
    <definedName hidden="1" localSheetId="2" name="_xlnm._FilterDatabase">Events!$A$1:$G$26</definedName>
    <definedName hidden="1" localSheetId="3" name="_xlnm._FilterDatabase">Reviews!$A$1:$H$21</definedName>
    <definedName hidden="1" localSheetId="4" name="_xlnm._FilterDatabase">Patches!$A$1:$H$16</definedName>
    <definedName hidden="1" localSheetId="5" name="_xlnm._FilterDatabase">Apply!$A$1:$G$11</definedName>
  </definedNames>
  <calcPr/>
  <extLst>
    <ext uri="GoogleSheetsCustomDataVersion2">
      <go:sheetsCustomData xmlns:go="http://customooxmlschemas.google.com/" r:id="rId10" roundtripDataChecksum="Dwg5PBuUq1jf0n+Bjf2Bm7jTh6/wZRA8KlEvoL1xZSU="/>
    </ext>
  </extLst>
</workbook>
</file>

<file path=xl/sharedStrings.xml><?xml version="1.0" encoding="utf-8"?>
<sst xmlns="http://schemas.openxmlformats.org/spreadsheetml/2006/main" count="701" uniqueCount="322">
  <si>
    <t>CERPA WORKBOOK — DASHBOARD</t>
  </si>
  <si>
    <t>Total Claims</t>
  </si>
  <si>
    <t>Total Events</t>
  </si>
  <si>
    <t>Total Reviews</t>
  </si>
  <si>
    <t>Total Patches</t>
  </si>
  <si>
    <t>Applied</t>
  </si>
  <si>
    <t>DRIFT METRICS</t>
  </si>
  <si>
    <t>PATCH STATUS</t>
  </si>
  <si>
    <t>Drift Detected (Y)</t>
  </si>
  <si>
    <t>Events w/ Deviation</t>
  </si>
  <si>
    <t>No Drift (N)</t>
  </si>
  <si>
    <t>Events w/o Deviation</t>
  </si>
  <si>
    <t>Approved</t>
  </si>
  <si>
    <t>Drift Rate</t>
  </si>
  <si>
    <t>Pending</t>
  </si>
  <si>
    <t>SEVERITY DISTRIBUTION</t>
  </si>
  <si>
    <t>CLAIM STATUS</t>
  </si>
  <si>
    <t>Critical</t>
  </si>
  <si>
    <t>Open</t>
  </si>
  <si>
    <t>High</t>
  </si>
  <si>
    <t>Under Review</t>
  </si>
  <si>
    <t>Medium</t>
  </si>
  <si>
    <t>Patched</t>
  </si>
  <si>
    <t>Low</t>
  </si>
  <si>
    <t>Closed</t>
  </si>
  <si>
    <t>HOW TO USE THIS WORKBOOK</t>
  </si>
  <si>
    <t>1. CLAIMS tab: Register every decision, requirement, or assertion as a new row with a unique ClaimID.</t>
  </si>
  <si>
    <t>2. EVENTS tab: Log what actually happened. Link each Event to its ClaimID. Flag deviations.</t>
  </si>
  <si>
    <t>3. REVIEWS tab: Compare Claims vs Events. Detect drift. Assign severity. Link to both ClaimID and EventID.</t>
  </si>
  <si>
    <t>4. PATCHES tab: Document corrections. Link to the ReviewID that triggered it and the ClaimID being corrected.</t>
  </si>
  <si>
    <t>5. APPLY tab: Record when corrections go live. Link to PatchID and ClaimID. Attach evidence.</t>
  </si>
  <si>
    <t>6. AUDIT: Filter any tab by ClaimID to see the full lifecycle. Export filtered tabs to PDF for evidence package.</t>
  </si>
  <si>
    <t>7. DASHBOARD: This tab auto-calculates metrics from the five CERPA tabs. Refresh by pressing Ctrl+Shift+F9.</t>
  </si>
  <si>
    <t>ClaimID</t>
  </si>
  <si>
    <t>Date</t>
  </si>
  <si>
    <t>Owner</t>
  </si>
  <si>
    <t>Description</t>
  </si>
  <si>
    <t>Source</t>
  </si>
  <si>
    <t>Status</t>
  </si>
  <si>
    <t>LinkedEventIDs</t>
  </si>
  <si>
    <t>CLM-001</t>
  </si>
  <si>
    <t>MAJ Torres (COR)</t>
  </si>
  <si>
    <t>Contractor shall deliver monthly status report by 5th business day</t>
  </si>
  <si>
    <t>SOW Para 3.1</t>
  </si>
  <si>
    <t>EVT-001</t>
  </si>
  <si>
    <t>CLM-002</t>
  </si>
  <si>
    <t>CPT Chen (ACOR)</t>
  </si>
  <si>
    <t>All software deliverables shall pass security scan before acceptance</t>
  </si>
  <si>
    <t>SOW Para 3.2</t>
  </si>
  <si>
    <t>EVT-002</t>
  </si>
  <si>
    <t>CLM-003</t>
  </si>
  <si>
    <t>Mr. Davis (KO)</t>
  </si>
  <si>
    <t>Contractor shall maintain 98% system uptime during core hours</t>
  </si>
  <si>
    <t>SOW Para 4.1</t>
  </si>
  <si>
    <t>EVT-003</t>
  </si>
  <si>
    <t>CLM-004</t>
  </si>
  <si>
    <t>Ms. Patel (PM)</t>
  </si>
  <si>
    <t>Weekly staffing report due every Monday by 1200</t>
  </si>
  <si>
    <t>SOW Para 5.3</t>
  </si>
  <si>
    <t>EVT-004</t>
  </si>
  <si>
    <t>CLM-005</t>
  </si>
  <si>
    <t>SSG Miller (QA)</t>
  </si>
  <si>
    <t>All personnel shall hold current security clearance at TS/SCI level</t>
  </si>
  <si>
    <t>CDRL A001</t>
  </si>
  <si>
    <t>EVT-005</t>
  </si>
  <si>
    <t>CLM-006</t>
  </si>
  <si>
    <t>Help desk response time shall not exceed 15 minutes during business hours</t>
  </si>
  <si>
    <t>CDRL A003</t>
  </si>
  <si>
    <t>EVT-006</t>
  </si>
  <si>
    <t>CLM-007</t>
  </si>
  <si>
    <t>Quarterly program review briefing delivered by 10th of quarter</t>
  </si>
  <si>
    <t>CDRL A005</t>
  </si>
  <si>
    <t>EVT-007</t>
  </si>
  <si>
    <t>CLM-008</t>
  </si>
  <si>
    <t>All code commits shall include unit test coverage above 80%</t>
  </si>
  <si>
    <t>PWS 3.2.1</t>
  </si>
  <si>
    <t>EVT-008</t>
  </si>
  <si>
    <t>CLM-009</t>
  </si>
  <si>
    <t>Contractor shall provide 24/7 on-call support for critical systems</t>
  </si>
  <si>
    <t>PWS 4.1.3</t>
  </si>
  <si>
    <t>EVT-009</t>
  </si>
  <si>
    <t>CLM-010</t>
  </si>
  <si>
    <t>Data backup completed nightly with verification log provided weekly</t>
  </si>
  <si>
    <t>QASP Para 2</t>
  </si>
  <si>
    <t>EVT-010</t>
  </si>
  <si>
    <t>CLM-011</t>
  </si>
  <si>
    <t>Network monitoring dashboard updated in real-time with 5-min refresh</t>
  </si>
  <si>
    <t>QASP Para 4</t>
  </si>
  <si>
    <t>EVT-011</t>
  </si>
  <si>
    <t>CLM-012</t>
  </si>
  <si>
    <t>Incident response initiated within 30 minutes of detection</t>
  </si>
  <si>
    <t>TO Mod 001</t>
  </si>
  <si>
    <t>EVT-012</t>
  </si>
  <si>
    <t>CLM-013</t>
  </si>
  <si>
    <t>All documentation delivered in accordance with DI-MGMT-81466</t>
  </si>
  <si>
    <t>TO Mod 003</t>
  </si>
  <si>
    <t>EVT-013</t>
  </si>
  <si>
    <t>CLM-014</t>
  </si>
  <si>
    <t>Training materials updated within 30 days of system change</t>
  </si>
  <si>
    <t>Policy Memo 24-01</t>
  </si>
  <si>
    <t>EVT-014</t>
  </si>
  <si>
    <t>CLM-015</t>
  </si>
  <si>
    <t>Transition plan delivered 90 days before period of performance end</t>
  </si>
  <si>
    <t>COR Direction 25-001</t>
  </si>
  <si>
    <t>EVT-015</t>
  </si>
  <si>
    <t>CLM-016</t>
  </si>
  <si>
    <t>Contractor shall comply with NIST 800-171 requirements</t>
  </si>
  <si>
    <t>EVT-016</t>
  </si>
  <si>
    <t>CLM-017</t>
  </si>
  <si>
    <t>Configuration management plan maintained and current</t>
  </si>
  <si>
    <t>EVT-017</t>
  </si>
  <si>
    <t>CLM-018</t>
  </si>
  <si>
    <t>System patches applied within 72 hours of release for critical CVEs</t>
  </si>
  <si>
    <t>EVT-018</t>
  </si>
  <si>
    <t>CLM-019</t>
  </si>
  <si>
    <t>All travel requires prior written COR approval</t>
  </si>
  <si>
    <t>EVT-019</t>
  </si>
  <si>
    <t>CLM-020</t>
  </si>
  <si>
    <t>Monthly financial report with cost/burn-rate analysis by 10th</t>
  </si>
  <si>
    <t>EVT-020</t>
  </si>
  <si>
    <t>CLM-021</t>
  </si>
  <si>
    <t>Risk register maintained and reviewed at each program review</t>
  </si>
  <si>
    <t>EVT-021</t>
  </si>
  <si>
    <t>CLM-022</t>
  </si>
  <si>
    <t>Contractor key personnel changes require 30-day advance notice</t>
  </si>
  <si>
    <t>EVT-022</t>
  </si>
  <si>
    <t>CLM-023</t>
  </si>
  <si>
    <t>All government-furnished equipment tracked in property log</t>
  </si>
  <si>
    <t>EVT-023</t>
  </si>
  <si>
    <t>CLM-024</t>
  </si>
  <si>
    <t>Test plan delivered and approved before system testing begins</t>
  </si>
  <si>
    <t>EVT-024</t>
  </si>
  <si>
    <t>CLM-025</t>
  </si>
  <si>
    <t>Final delivery acceptance within 10 business days of submission</t>
  </si>
  <si>
    <t>EVT-025</t>
  </si>
  <si>
    <t>CLM-026</t>
  </si>
  <si>
    <t>Contractor shall maintain ISO 27001 certification throughout PoP</t>
  </si>
  <si>
    <t>CLM-027</t>
  </si>
  <si>
    <t>Sub-contractor performance monitored and reported quarterly</t>
  </si>
  <si>
    <t>CLM-028</t>
  </si>
  <si>
    <t>Earned Value Management reports delivered monthly per CDRL</t>
  </si>
  <si>
    <t>CLM-029</t>
  </si>
  <si>
    <t>Access control logs reviewed weekly by contractor security officer</t>
  </si>
  <si>
    <t>CLM-030</t>
  </si>
  <si>
    <t>Lessons learned report delivered within 30 days of milestone completion</t>
  </si>
  <si>
    <t>EventID</t>
  </si>
  <si>
    <t>Observer</t>
  </si>
  <si>
    <t>What Happened</t>
  </si>
  <si>
    <t>Evidence</t>
  </si>
  <si>
    <t>Deviation</t>
  </si>
  <si>
    <t>March status report delivered on 12th business day — 7 days late</t>
  </si>
  <si>
    <t>\\fileserver\TO-Evidence\EVT-001.pdf</t>
  </si>
  <si>
    <t>N</t>
  </si>
  <si>
    <t>Security scan completed; 3 critical findings identified</t>
  </si>
  <si>
    <t>\\fileserver\TO-Evidence\EVT-002.pdf</t>
  </si>
  <si>
    <t>Y</t>
  </si>
  <si>
    <t>System uptime measured at 94.2% for February — below 98% threshold</t>
  </si>
  <si>
    <t>\\fileserver\TO-Evidence\EVT-003.pdf</t>
  </si>
  <si>
    <t>Staffing report received Monday at 1430 — 2.5 hours late</t>
  </si>
  <si>
    <t>\\fileserver\TO-Evidence\EVT-004.pdf</t>
  </si>
  <si>
    <t>Personnel audit: 2 of 14 staff have expired interim clearances</t>
  </si>
  <si>
    <t>\\fileserver\TO-Evidence\EVT-005.pdf</t>
  </si>
  <si>
    <t>Help desk average response: 22 minutes — exceeds 15-min SLA</t>
  </si>
  <si>
    <t>\\fileserver\TO-Evidence\EVT-006.pdf</t>
  </si>
  <si>
    <t>Q1 program review delivered on time; content reviewed by COR</t>
  </si>
  <si>
    <t>\\fileserver\TO-Evidence\EVT-007.pdf</t>
  </si>
  <si>
    <t>Code coverage measured at 71% on Sprint 14 deliverable</t>
  </si>
  <si>
    <t>\\fileserver\TO-Evidence\EVT-008.pdf</t>
  </si>
  <si>
    <t>On-call technician unreachable for 45 minutes during Severity 1 event</t>
  </si>
  <si>
    <t>\\fileserver\TO-Evidence\EVT-009.pdf</t>
  </si>
  <si>
    <t>Backup verification log shows 3 failed backups in week of 3/15</t>
  </si>
  <si>
    <t>\\fileserver\TO-Evidence\EVT-010.pdf</t>
  </si>
  <si>
    <t>Dashboard showed 15-minute data gap during maintenance window</t>
  </si>
  <si>
    <t>\\fileserver\TO-Evidence\EVT-011.pdf</t>
  </si>
  <si>
    <t>Incident response time: 47 minutes for P1 network outage on 3/22</t>
  </si>
  <si>
    <t>\\fileserver\TO-Evidence\EVT-012.pdf</t>
  </si>
  <si>
    <t>Documentation format does not conform to DI-MGMT-81466 template</t>
  </si>
  <si>
    <t>\\fileserver\TO-Evidence\EVT-013.pdf</t>
  </si>
  <si>
    <t>Training materials reference deprecated system version (v2.1 vs v3.0)</t>
  </si>
  <si>
    <t>\\fileserver\TO-Evidence\EVT-014.pdf</t>
  </si>
  <si>
    <t>Transition plan submitted on day 85 — 5 days late per SOW</t>
  </si>
  <si>
    <t>\\fileserver\TO-Evidence\EVT-015.pdf</t>
  </si>
  <si>
    <t>NIST 800-171 self-assessment score: 87/110 — 3 POAMs open</t>
  </si>
  <si>
    <t>\\fileserver\TO-Evidence\EVT-016.pdf</t>
  </si>
  <si>
    <t>CM plan last updated 6 months ago — does not reflect current architecture</t>
  </si>
  <si>
    <t>\\fileserver\TO-Evidence\EVT-017.pdf</t>
  </si>
  <si>
    <t>Critical CVE patches applied in 96 hours — 24 hours over threshold</t>
  </si>
  <si>
    <t>\\fileserver\TO-Evidence\EVT-018.pdf</t>
  </si>
  <si>
    <t>Contractor travel conducted without prior COR written approval</t>
  </si>
  <si>
    <t>\\fileserver\TO-Evidence\EVT-019.pdf</t>
  </si>
  <si>
    <t>Financial report delivered on 15th — 5 days late; burn rate missing</t>
  </si>
  <si>
    <t>\\fileserver\TO-Evidence\EVT-020.pdf</t>
  </si>
  <si>
    <t>\\fileserver\TO-Evidence\EVT-021.pdf</t>
  </si>
  <si>
    <t>\\fileserver\TO-Evidence\EVT-022.pdf</t>
  </si>
  <si>
    <t>\\fileserver\TO-Evidence\EVT-023.pdf</t>
  </si>
  <si>
    <t>\\fileserver\TO-Evidence\EVT-024.pdf</t>
  </si>
  <si>
    <t>\\fileserver\TO-Evidence\EVT-025.pdf</t>
  </si>
  <si>
    <t>ReviewID</t>
  </si>
  <si>
    <t>Finding</t>
  </si>
  <si>
    <t>Drift Detected</t>
  </si>
  <si>
    <t>Severity</t>
  </si>
  <si>
    <t>Reviewer</t>
  </si>
  <si>
    <t>REV-001</t>
  </si>
  <si>
    <t>Drift confirmed: 3 of last 4 reports late. Pattern, not one-time.</t>
  </si>
  <si>
    <t>Mr. Jackson (QA)</t>
  </si>
  <si>
    <t>REV-002</t>
  </si>
  <si>
    <t>Security findings are valid Critical. Deliverable cannot be accepted.</t>
  </si>
  <si>
    <t>REV-003</t>
  </si>
  <si>
    <t>Uptime below threshold 2 consecutive months. Systemic issue.</t>
  </si>
  <si>
    <t>Ms. Kim (Audit)</t>
  </si>
  <si>
    <t>REV-004</t>
  </si>
  <si>
    <t>Minor deviation. Verbal counseling sufficient. Monitor next 4 weeks.</t>
  </si>
  <si>
    <t>REV-005</t>
  </si>
  <si>
    <t>Clearance gap creates immediate risk. Cannot access SCIF.</t>
  </si>
  <si>
    <t>REV-006</t>
  </si>
  <si>
    <t>SLA breach pattern: 5 of 8 weeks exceeded. Not isolated.</t>
  </si>
  <si>
    <t>REV-007</t>
  </si>
  <si>
    <t>Content adequate but delivery format needs improvement. Minor.</t>
  </si>
  <si>
    <t>REV-008</t>
  </si>
  <si>
    <t>Coverage deficit is a quality risk. Cannot accept until remediated.</t>
  </si>
  <si>
    <t>REV-009</t>
  </si>
  <si>
    <t>On-call failure during Severity 1 is a critical performance issue.</t>
  </si>
  <si>
    <t>REV-010</t>
  </si>
  <si>
    <t>Backup failures create data loss risk. Corrective action required.</t>
  </si>
  <si>
    <t>REV-011</t>
  </si>
  <si>
    <t>Dashboard gap acceptable during scheduled maintenance. No drift.</t>
  </si>
  <si>
    <t>REV-012</t>
  </si>
  <si>
    <t>Response time failure is critical. Incident playbook not followed.</t>
  </si>
  <si>
    <t>REV-013</t>
  </si>
  <si>
    <t>Format non-conformance is correctable. Issue COR direction.</t>
  </si>
  <si>
    <t>REV-014</t>
  </si>
  <si>
    <t>Outdated training creates operational risk. Immediate update required.</t>
  </si>
  <si>
    <t>REV-015</t>
  </si>
  <si>
    <t>Late delivery within tolerance (5 days). Issue verbal notice.</t>
  </si>
  <si>
    <t>REV-016</t>
  </si>
  <si>
    <t>REV-017</t>
  </si>
  <si>
    <t>REV-018</t>
  </si>
  <si>
    <t>REV-019</t>
  </si>
  <si>
    <t>REV-020</t>
  </si>
  <si>
    <t>PatchID</t>
  </si>
  <si>
    <t>Correction</t>
  </si>
  <si>
    <t>Rationale</t>
  </si>
  <si>
    <t>Approver</t>
  </si>
  <si>
    <t>PAT-001</t>
  </si>
  <si>
    <t>COR letter issued. Contractor to submit corrective action plan by April 15.</t>
  </si>
  <si>
    <t>Review REV-001 identified drift requiring correction. See linked finding.</t>
  </si>
  <si>
    <t>PAT-002</t>
  </si>
  <si>
    <t>Deliverable returned. Contractor to remediate 3 Critical findings and resubmit.</t>
  </si>
  <si>
    <t>Review REV-002 identified drift requiring correction. See linked finding.</t>
  </si>
  <si>
    <t>PAT-003</t>
  </si>
  <si>
    <t>Performance improvement plan required within 14 days. Next 2 months monitored.</t>
  </si>
  <si>
    <t>Review REV-003 identified drift requiring correction. See linked finding.</t>
  </si>
  <si>
    <t>COL Richardson (DPM)</t>
  </si>
  <si>
    <t>PAT-004</t>
  </si>
  <si>
    <t>Verbal counseling documented in COR file. No formal action at this time.</t>
  </si>
  <si>
    <t>Review REV-004 identified drift requiring correction. See linked finding.</t>
  </si>
  <si>
    <t>PAT-005</t>
  </si>
  <si>
    <t>Contractor directed to resolve clearance gaps within 10 business days or replace personnel.</t>
  </si>
  <si>
    <t>Review REV-005 identified drift requiring correction. See linked finding.</t>
  </si>
  <si>
    <t>PAT-006</t>
  </si>
  <si>
    <t>Cure notice drafted. 10-day cure period. If not remediated, escalate to KO.</t>
  </si>
  <si>
    <t>Review REV-006 identified drift requiring correction. See linked finding.</t>
  </si>
  <si>
    <t>PAT-007</t>
  </si>
  <si>
    <t>COR direction issued: reformat Q2 deliverable per DI-MGMT-81466 template.</t>
  </si>
  <si>
    <t>Review REV-007 identified drift requiring correction. See linked finding.</t>
  </si>
  <si>
    <t>PAT-008</t>
  </si>
  <si>
    <t>Sprint 15 deliverable must demonstrate &gt;80% coverage or will be rejected.</t>
  </si>
  <si>
    <t>Review REV-008 identified drift requiring correction. See linked finding.</t>
  </si>
  <si>
    <t>PAT-009</t>
  </si>
  <si>
    <t>Contractor to revise on-call procedures and provide updated roster within 7 days.</t>
  </si>
  <si>
    <t>Review REV-009 identified drift requiring correction. See linked finding.</t>
  </si>
  <si>
    <t>PAT-010</t>
  </si>
  <si>
    <t>Contractor to implement automated backup verification. Report daily for 30 days.</t>
  </si>
  <si>
    <t>Review REV-010 identified drift requiring correction. See linked finding.</t>
  </si>
  <si>
    <t>PAT-011</t>
  </si>
  <si>
    <t>No action required. Dashboard gap within acceptable maintenance window.</t>
  </si>
  <si>
    <t>Review REV-011 identified drift requiring correction. See linked finding.</t>
  </si>
  <si>
    <t>PAT-012</t>
  </si>
  <si>
    <t>Contractor to conduct incident response drill within 14 days. Report results.</t>
  </si>
  <si>
    <t>Review REV-012 identified drift requiring correction. See linked finding.</t>
  </si>
  <si>
    <t>PAT-013</t>
  </si>
  <si>
    <t>COR direction: update all documentation to current template within 30 days.</t>
  </si>
  <si>
    <t>Review REV-013 identified drift requiring correction. See linked finding.</t>
  </si>
  <si>
    <t>PAT-014</t>
  </si>
  <si>
    <t>Contractor to update all training materials to v3.0 within 21 days.</t>
  </si>
  <si>
    <t>Review REV-014 identified drift requiring correction. See linked finding.</t>
  </si>
  <si>
    <t>PAT-015</t>
  </si>
  <si>
    <t>Written notice issued. Next late delivery triggers formal cure notice.</t>
  </si>
  <si>
    <t>Review REV-015 identified drift requiring correction. See linked finding.</t>
  </si>
  <si>
    <t>ApplyID</t>
  </si>
  <si>
    <t>Action Taken</t>
  </si>
  <si>
    <t>Verified By</t>
  </si>
  <si>
    <t>APL-001</t>
  </si>
  <si>
    <t>CAP received April 14. Reviewed and accepted. April report delivered on time. Claim updated.</t>
  </si>
  <si>
    <t>\\fileserver\TO-Evidence\APL-001_closeout.pdf</t>
  </si>
  <si>
    <t>APL-002</t>
  </si>
  <si>
    <t>Resubmission received. All 3 Critical findings remediated. Deliverable accepted.</t>
  </si>
  <si>
    <t>\\fileserver\TO-Evidence\APL-002_closeout.pdf</t>
  </si>
  <si>
    <t>APL-003</t>
  </si>
  <si>
    <t>PIP submitted. March uptime measured at 99.1%. Monitoring continues.</t>
  </si>
  <si>
    <t>\\fileserver\TO-Evidence\APL-003_closeout.pdf</t>
  </si>
  <si>
    <t>APL-004</t>
  </si>
  <si>
    <t>Verbal counseling noted. Next 4 reports delivered on time. Issue closed.</t>
  </si>
  <si>
    <t>\\fileserver\TO-Evidence\APL-004_closeout.pdf</t>
  </si>
  <si>
    <t>APL-005</t>
  </si>
  <si>
    <t>2 personnel replaced within 8 days. Clearance verification confirmed. Claim restored.</t>
  </si>
  <si>
    <t>\\fileserver\TO-Evidence\APL-005_closeout.pdf</t>
  </si>
  <si>
    <t>APL-006</t>
  </si>
  <si>
    <t>Cure notice issued. Help desk SLA met for 4 consecutive weeks after cure. Closed.</t>
  </si>
  <si>
    <t>\\fileserver\TO-Evidence\APL-006_closeout.pdf</t>
  </si>
  <si>
    <t>APL-007</t>
  </si>
  <si>
    <t>Q2 deliverable reformatted correctly. Accepted. Template compliance confirmed.</t>
  </si>
  <si>
    <t>\\fileserver\TO-Evidence\APL-007_closeout.pdf</t>
  </si>
  <si>
    <t>APL-008</t>
  </si>
  <si>
    <t>Sprint 15 code coverage: 84%. Threshold met. Deliverable accepted.</t>
  </si>
  <si>
    <t>\\fileserver\TO-Evidence\APL-008_closeout.pdf</t>
  </si>
  <si>
    <t>APL-009</t>
  </si>
  <si>
    <t>Revised on-call roster received. Drill conducted successfully. Verified operational.</t>
  </si>
  <si>
    <t>\\fileserver\TO-Evidence\APL-009_closeout.pdf</t>
  </si>
  <si>
    <t>APL-010</t>
  </si>
  <si>
    <t>Automated verification implemented. 30-day report shows 100% backup success. Closed.</t>
  </si>
  <si>
    <t>\\fileserver\TO-Evidence\APL-010_closeout.pdf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</si>
</sst>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yyyy\-mm\-dd\ h:mm:ss"/>
  </numFmts>
  <fonts count="28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22.0"/>
      <color rgb="FFFF9100"/>
      <name val="Arial"/>
    </font>
    <font>
      <b/>
      <sz val="22.0"/>
      <color rgb="FF00D4FF"/>
      <name val="Arial"/>
    </font>
    <font>
      <b/>
      <sz val="22.0"/>
      <color rgb="FFB388FF"/>
      <name val="Arial"/>
    </font>
    <font>
      <b/>
      <sz val="22.0"/>
      <color rgb="FF00E676"/>
      <name val="Arial"/>
    </font>
    <font>
      <b/>
      <sz val="22.0"/>
      <color rgb="FFFFB800"/>
      <name val="Arial"/>
    </font>
    <font>
      <sz val="10.0"/>
      <color rgb="FF6B7D8E"/>
      <name val="Arial"/>
    </font>
    <font>
      <b/>
      <sz val="11.0"/>
      <color rgb="FF00D4FF"/>
      <name val="Arial"/>
    </font>
    <font>
      <b/>
      <sz val="14.0"/>
      <color rgb="FFFF4444"/>
      <name val="Arial"/>
    </font>
    <font>
      <b/>
      <sz val="14.0"/>
      <color rgb="FF00E676"/>
      <name val="Arial"/>
    </font>
    <font>
      <b/>
      <sz val="14.0"/>
      <color rgb="FF00D4FF"/>
      <name val="Arial"/>
    </font>
    <font>
      <b/>
      <sz val="14.0"/>
      <color rgb="FFFF9100"/>
      <name val="Arial"/>
    </font>
    <font>
      <b/>
      <sz val="14.0"/>
      <color rgb="FFFFB800"/>
      <name val="Arial"/>
    </font>
    <font>
      <b/>
      <sz val="14.0"/>
      <color rgb="FF6B7D8E"/>
      <name val="Arial"/>
    </font>
    <font>
      <sz val="10.0"/>
      <color rgb="FFC8C8D8"/>
      <name val="Arial"/>
    </font>
    <font>
      <sz val="10.0"/>
      <color rgb="FFFFB800"/>
      <name val="Arial"/>
    </font>
    <font>
      <b/>
      <sz val="11.0"/>
      <color rgb="FFFFFFFF"/>
      <name val="Arial"/>
    </font>
    <font>
      <b/>
      <sz val="10.0"/>
      <color rgb="FF0055AA"/>
      <name val="Arial"/>
    </font>
    <font>
      <sz val="10.0"/>
      <color rgb="FF1A1A2E"/>
      <name val="Arial"/>
    </font>
    <font>
      <b/>
      <sz val="10.0"/>
      <color rgb="FF0066CC"/>
      <name val="Arial"/>
    </font>
    <font>
      <b/>
      <sz val="10.0"/>
      <color rgb="FF228B22"/>
      <name val="Arial"/>
    </font>
    <font>
      <b/>
      <sz val="10.0"/>
      <color rgb="FF006600"/>
      <name val="Arial"/>
    </font>
    <font>
      <sz val="10.0"/>
      <color rgb="FF228B22"/>
      <name val="Arial"/>
    </font>
    <font>
      <b/>
      <sz val="10.0"/>
      <color rgb="FFCC0000"/>
      <name val="Arial"/>
    </font>
    <font>
      <b/>
      <sz val="10.0"/>
      <color rgb="FFDD66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B2838"/>
        <bgColor rgb="FF1B2838"/>
      </patternFill>
    </fill>
    <fill>
      <patternFill patternType="solid">
        <fgColor rgb="FF0D1321"/>
        <bgColor rgb="FF0D1321"/>
      </patternFill>
    </fill>
    <fill>
      <patternFill patternType="solid">
        <fgColor rgb="FFE8740C"/>
        <bgColor rgb="FFE8740C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  <fill>
      <patternFill patternType="solid">
        <fgColor rgb="FF0099BB"/>
        <bgColor rgb="FF0099BB"/>
      </patternFill>
    </fill>
    <fill>
      <patternFill patternType="solid">
        <fgColor rgb="FF7B5EA7"/>
        <bgColor rgb="FF7B5EA7"/>
      </patternFill>
    </fill>
    <fill>
      <patternFill patternType="solid">
        <fgColor rgb="FF00994D"/>
        <bgColor rgb="FF00994D"/>
      </patternFill>
    </fill>
    <fill>
      <patternFill patternType="solid">
        <fgColor rgb="FFCC9900"/>
        <bgColor rgb="FFCC99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DD"/>
      </left>
      <top style="thin">
        <color rgb="FFCCCCDD"/>
      </top>
      <bottom style="thin">
        <color rgb="FFCCCCDD"/>
      </bottom>
    </border>
    <border>
      <right style="thin">
        <color rgb="FFCCCCDD"/>
      </right>
      <top style="thin">
        <color rgb="FFCCCCDD"/>
      </top>
      <bottom style="thin">
        <color rgb="FFCCCCDD"/>
      </bottom>
    </border>
    <border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5" fillId="2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shrinkToFit="0" vertical="bottom" wrapText="0"/>
    </xf>
    <xf borderId="4" fillId="3" fontId="9" numFmtId="0" xfId="0" applyAlignment="1" applyBorder="1" applyFont="1">
      <alignment shrinkToFit="0" vertical="bottom" wrapText="0"/>
    </xf>
    <xf borderId="7" fillId="2" fontId="11" numFmtId="0" xfId="0" applyAlignment="1" applyBorder="1" applyFont="1">
      <alignment horizontal="center"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7" fillId="2" fontId="13" numFmtId="0" xfId="0" applyAlignment="1" applyBorder="1" applyFont="1">
      <alignment horizontal="center" shrinkToFit="0" vertical="center" wrapText="1"/>
    </xf>
    <xf borderId="7" fillId="2" fontId="14" numFmtId="164" xfId="0" applyAlignment="1" applyBorder="1" applyFont="1" applyNumberFormat="1">
      <alignment horizontal="center"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7" fillId="2" fontId="15" numFmtId="0" xfId="0" applyAlignment="1" applyBorder="1" applyFont="1">
      <alignment horizontal="center" shrinkToFit="0" vertical="center" wrapText="1"/>
    </xf>
    <xf borderId="7" fillId="2" fontId="16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shrinkToFit="0" vertical="bottom" wrapText="0"/>
    </xf>
    <xf borderId="1" fillId="3" fontId="18" numFmtId="0" xfId="0" applyAlignment="1" applyBorder="1" applyFont="1">
      <alignment shrinkToFit="0" vertical="bottom" wrapText="0"/>
    </xf>
    <xf borderId="7" fillId="4" fontId="19" numFmtId="0" xfId="0" applyAlignment="1" applyBorder="1" applyFill="1" applyFont="1">
      <alignment horizontal="center" shrinkToFit="0" vertical="center" wrapText="1"/>
    </xf>
    <xf borderId="7" fillId="5" fontId="20" numFmtId="0" xfId="0" applyAlignment="1" applyBorder="1" applyFill="1" applyFont="1">
      <alignment horizontal="center" shrinkToFit="0" vertical="center" wrapText="1"/>
    </xf>
    <xf borderId="7" fillId="5" fontId="21" numFmtId="165" xfId="0" applyAlignment="1" applyBorder="1" applyFont="1" applyNumberFormat="1">
      <alignment horizontal="center" shrinkToFit="0" vertical="center" wrapText="1"/>
    </xf>
    <xf borderId="7" fillId="5" fontId="21" numFmtId="0" xfId="0" applyAlignment="1" applyBorder="1" applyFont="1">
      <alignment horizontal="left" shrinkToFit="0" vertical="top" wrapText="1"/>
    </xf>
    <xf borderId="7" fillId="5" fontId="22" numFmtId="0" xfId="0" applyAlignment="1" applyBorder="1" applyFont="1">
      <alignment horizontal="left" shrinkToFit="0" vertical="top" wrapText="1"/>
    </xf>
    <xf borderId="7" fillId="6" fontId="20" numFmtId="0" xfId="0" applyAlignment="1" applyBorder="1" applyFill="1" applyFont="1">
      <alignment horizontal="center" shrinkToFit="0" vertical="center" wrapText="1"/>
    </xf>
    <xf borderId="7" fillId="6" fontId="21" numFmtId="165" xfId="0" applyAlignment="1" applyBorder="1" applyFont="1" applyNumberFormat="1">
      <alignment horizontal="center" shrinkToFit="0" vertical="center" wrapText="1"/>
    </xf>
    <xf borderId="7" fillId="6" fontId="21" numFmtId="0" xfId="0" applyAlignment="1" applyBorder="1" applyFont="1">
      <alignment horizontal="left" shrinkToFit="0" vertical="top" wrapText="1"/>
    </xf>
    <xf borderId="7" fillId="6" fontId="23" numFmtId="0" xfId="0" applyAlignment="1" applyBorder="1" applyFont="1">
      <alignment horizontal="left" shrinkToFit="0" vertical="top" wrapText="1"/>
    </xf>
    <xf borderId="7" fillId="6" fontId="22" numFmtId="0" xfId="0" applyAlignment="1" applyBorder="1" applyFont="1">
      <alignment horizontal="left" shrinkToFit="0" vertical="top" wrapText="1"/>
    </xf>
    <xf borderId="7" fillId="5" fontId="24" numFmtId="0" xfId="0" applyAlignment="1" applyBorder="1" applyFont="1">
      <alignment horizontal="left" shrinkToFit="0" vertical="top" wrapText="1"/>
    </xf>
    <xf borderId="7" fillId="6" fontId="24" numFmtId="0" xfId="0" applyAlignment="1" applyBorder="1" applyFont="1">
      <alignment horizontal="left" shrinkToFit="0" vertical="top" wrapText="1"/>
    </xf>
    <xf borderId="7" fillId="5" fontId="23" numFmtId="0" xfId="0" applyAlignment="1" applyBorder="1" applyFont="1">
      <alignment horizontal="left" shrinkToFit="0" vertical="top" wrapText="1"/>
    </xf>
    <xf borderId="7" fillId="7" fontId="19" numFmtId="0" xfId="0" applyAlignment="1" applyBorder="1" applyFill="1" applyFont="1">
      <alignment horizontal="center" shrinkToFit="0" vertical="center" wrapText="1"/>
    </xf>
    <xf borderId="7" fillId="5" fontId="25" numFmtId="0" xfId="0" applyAlignment="1" applyBorder="1" applyFont="1">
      <alignment horizontal="center" shrinkToFit="0" vertical="center" wrapText="1"/>
    </xf>
    <xf borderId="7" fillId="6" fontId="26" numFmtId="0" xfId="0" applyAlignment="1" applyBorder="1" applyFont="1">
      <alignment horizontal="center" shrinkToFit="0" vertical="center" wrapText="1"/>
    </xf>
    <xf borderId="7" fillId="5" fontId="26" numFmtId="0" xfId="0" applyAlignment="1" applyBorder="1" applyFont="1">
      <alignment horizontal="center" shrinkToFit="0" vertical="center" wrapText="1"/>
    </xf>
    <xf borderId="7" fillId="6" fontId="25" numFmtId="0" xfId="0" applyAlignment="1" applyBorder="1" applyFont="1">
      <alignment horizontal="center" shrinkToFit="0" vertical="center" wrapText="1"/>
    </xf>
    <xf borderId="7" fillId="8" fontId="19" numFmtId="0" xfId="0" applyAlignment="1" applyBorder="1" applyFill="1" applyFont="1">
      <alignment horizontal="center" shrinkToFit="0" vertical="center" wrapText="1"/>
    </xf>
    <xf borderId="7" fillId="6" fontId="21" numFmtId="0" xfId="0" applyAlignment="1" applyBorder="1" applyFont="1">
      <alignment horizontal="center" shrinkToFit="0" vertical="center" wrapText="1"/>
    </xf>
    <xf borderId="7" fillId="5" fontId="27" numFmtId="0" xfId="0" applyAlignment="1" applyBorder="1" applyFont="1">
      <alignment horizontal="center" shrinkToFit="0" vertical="center" wrapText="1"/>
    </xf>
    <xf borderId="7" fillId="5" fontId="21" numFmtId="0" xfId="0" applyAlignment="1" applyBorder="1" applyFont="1">
      <alignment horizontal="center" shrinkToFit="0" vertical="center" wrapText="1"/>
    </xf>
    <xf borderId="7" fillId="6" fontId="27" numFmtId="0" xfId="0" applyAlignment="1" applyBorder="1" applyFont="1">
      <alignment horizontal="center" shrinkToFit="0" vertical="center" wrapText="1"/>
    </xf>
    <xf borderId="7" fillId="9" fontId="19" numFmtId="0" xfId="0" applyAlignment="1" applyBorder="1" applyFill="1" applyFont="1">
      <alignment horizontal="center" shrinkToFit="0" vertical="center" wrapText="1"/>
    </xf>
    <xf borderId="7" fillId="5" fontId="23" numFmtId="0" xfId="0" applyAlignment="1" applyBorder="1" applyFont="1">
      <alignment horizontal="center" shrinkToFit="0" vertical="center" wrapText="1"/>
    </xf>
    <xf borderId="7" fillId="6" fontId="23" numFmtId="0" xfId="0" applyAlignment="1" applyBorder="1" applyFont="1">
      <alignment horizontal="center" shrinkToFit="0" vertical="center" wrapText="1"/>
    </xf>
    <xf borderId="7" fillId="10" fontId="1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4FF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4.0"/>
    <col customWidth="1" min="4" max="4" width="22.0"/>
    <col customWidth="1" min="5" max="5" width="14.0"/>
    <col customWidth="1" min="6" max="6" width="4.0"/>
    <col customWidth="1" min="7" max="7" width="18.0"/>
    <col customWidth="1" min="8" max="9" width="14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5">
        <f>COUNTA(Claims!A2:A1000)</f>
        <v>30</v>
      </c>
      <c r="B3" s="6"/>
      <c r="C3" s="7">
        <f>COUNTA(Events!A2:A1000)</f>
        <v>25</v>
      </c>
      <c r="D3" s="6"/>
      <c r="E3" s="8">
        <f>COUNTA(Reviews!A2:A1000)</f>
        <v>20</v>
      </c>
      <c r="F3" s="6"/>
      <c r="G3" s="9">
        <f>COUNTA(Patches!A2:A1000)</f>
        <v>15</v>
      </c>
      <c r="H3" s="6"/>
      <c r="I3" s="10">
        <f>COUNTA(Apply!A2:A1000)</f>
        <v>10</v>
      </c>
    </row>
    <row r="4" ht="15.0" customHeight="1">
      <c r="A4" s="11" t="s">
        <v>1</v>
      </c>
      <c r="B4" s="6"/>
      <c r="C4" s="11" t="s">
        <v>2</v>
      </c>
      <c r="D4" s="6"/>
      <c r="E4" s="11" t="s">
        <v>3</v>
      </c>
      <c r="F4" s="6"/>
      <c r="G4" s="11" t="s">
        <v>4</v>
      </c>
      <c r="H4" s="6"/>
      <c r="I4" s="12" t="s">
        <v>5</v>
      </c>
    </row>
    <row r="5">
      <c r="A5" s="4"/>
      <c r="B5" s="4"/>
      <c r="C5" s="4"/>
      <c r="D5" s="4"/>
      <c r="E5" s="4"/>
      <c r="F5" s="4"/>
      <c r="G5" s="4"/>
      <c r="H5" s="4"/>
      <c r="I5" s="4"/>
    </row>
    <row r="6">
      <c r="A6" s="13" t="s">
        <v>6</v>
      </c>
      <c r="B6" s="4"/>
      <c r="C6" s="4"/>
      <c r="D6" s="4"/>
      <c r="E6" s="4"/>
      <c r="F6" s="4"/>
      <c r="G6" s="13" t="s">
        <v>7</v>
      </c>
      <c r="H6" s="4"/>
      <c r="I6" s="4"/>
    </row>
    <row r="7">
      <c r="A7" s="14" t="s">
        <v>8</v>
      </c>
      <c r="B7" s="15">
        <f>COUNTIF(Reviews!F2:F1000,"Y")</f>
        <v>11</v>
      </c>
      <c r="C7" s="4"/>
      <c r="D7" s="14" t="s">
        <v>9</v>
      </c>
      <c r="E7" s="15">
        <f>COUNTIF(Events!G2:G1000,"Y")</f>
        <v>17</v>
      </c>
      <c r="F7" s="4"/>
      <c r="G7" s="14" t="s">
        <v>5</v>
      </c>
      <c r="H7" s="16">
        <f>COUNTIF(Patches!H2:H1000,"Applied")</f>
        <v>4</v>
      </c>
      <c r="I7" s="4"/>
    </row>
    <row r="8">
      <c r="A8" s="14" t="s">
        <v>10</v>
      </c>
      <c r="B8" s="16">
        <f>COUNTIF(Reviews!F2:F1000,"N")</f>
        <v>9</v>
      </c>
      <c r="C8" s="4"/>
      <c r="D8" s="14" t="s">
        <v>11</v>
      </c>
      <c r="E8" s="16">
        <f>COUNTIF(Events!G2:G1000,"N")</f>
        <v>8</v>
      </c>
      <c r="F8" s="4"/>
      <c r="G8" s="14" t="s">
        <v>12</v>
      </c>
      <c r="H8" s="17">
        <f>COUNTIF(Patches!H2:H1000,"Approved")</f>
        <v>7</v>
      </c>
      <c r="I8" s="4"/>
    </row>
    <row r="9">
      <c r="A9" s="14" t="s">
        <v>13</v>
      </c>
      <c r="B9" s="18">
        <f>IF(B7+B8&gt;0,B7/(B7+B8),0)</f>
        <v>0.55</v>
      </c>
      <c r="C9" s="4"/>
      <c r="D9" s="4"/>
      <c r="E9" s="4"/>
      <c r="F9" s="4"/>
      <c r="G9" s="14" t="s">
        <v>14</v>
      </c>
      <c r="H9" s="15">
        <f>COUNTIF(Patches!H2:H1000,"Pending")</f>
        <v>4</v>
      </c>
      <c r="I9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1">
      <c r="A11" s="13" t="s">
        <v>15</v>
      </c>
      <c r="B11" s="4"/>
      <c r="C11" s="4"/>
      <c r="D11" s="13" t="s">
        <v>16</v>
      </c>
      <c r="E11" s="4"/>
      <c r="F11" s="4"/>
      <c r="G11" s="4"/>
      <c r="H11" s="4"/>
      <c r="I11" s="4"/>
    </row>
    <row r="12">
      <c r="A12" s="14" t="s">
        <v>17</v>
      </c>
      <c r="B12" s="15">
        <f>COUNTIF(Reviews!G2:G1000,"Critical")</f>
        <v>3</v>
      </c>
      <c r="C12" s="4"/>
      <c r="D12" s="14" t="s">
        <v>18</v>
      </c>
      <c r="E12" s="17">
        <f>COUNTIF(Claims!F2:F1000,"Open")</f>
        <v>18</v>
      </c>
      <c r="F12" s="4"/>
      <c r="G12" s="4"/>
      <c r="H12" s="4"/>
      <c r="I12" s="4"/>
    </row>
    <row r="13">
      <c r="A13" s="14" t="s">
        <v>19</v>
      </c>
      <c r="B13" s="19">
        <f>COUNTIF(Reviews!G2:G1000,"High")</f>
        <v>4</v>
      </c>
      <c r="C13" s="4"/>
      <c r="D13" s="14" t="s">
        <v>20</v>
      </c>
      <c r="E13" s="19">
        <f>COUNTIF(Claims!F2:F1000,"Under Review")</f>
        <v>4</v>
      </c>
      <c r="F13" s="4"/>
      <c r="G13" s="4"/>
      <c r="H13" s="4"/>
      <c r="I13" s="4"/>
    </row>
    <row r="14">
      <c r="A14" s="14" t="s">
        <v>21</v>
      </c>
      <c r="B14" s="20">
        <f>COUNTIF(Reviews!G2:G1000,"Medium")</f>
        <v>6</v>
      </c>
      <c r="C14" s="4"/>
      <c r="D14" s="14" t="s">
        <v>22</v>
      </c>
      <c r="E14" s="16">
        <f>COUNTIF(Claims!F2:F1000,"Patched")</f>
        <v>4</v>
      </c>
      <c r="F14" s="4"/>
      <c r="G14" s="4"/>
      <c r="H14" s="4"/>
      <c r="I14" s="4"/>
    </row>
    <row r="15">
      <c r="A15" s="14" t="s">
        <v>23</v>
      </c>
      <c r="B15" s="16">
        <f>COUNTIF(Reviews!G2:G1000,"Low")</f>
        <v>7</v>
      </c>
      <c r="C15" s="4"/>
      <c r="D15" s="14" t="s">
        <v>24</v>
      </c>
      <c r="E15" s="21">
        <f>COUNTIF(Claims!F2:F1000,"Closed")</f>
        <v>4</v>
      </c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13" t="s">
        <v>25</v>
      </c>
      <c r="B17" s="4"/>
      <c r="C17" s="4"/>
      <c r="D17" s="4"/>
      <c r="E17" s="4"/>
      <c r="F17" s="4"/>
      <c r="G17" s="4"/>
      <c r="H17" s="4"/>
      <c r="I17" s="4"/>
    </row>
    <row r="18">
      <c r="A18" s="22" t="s">
        <v>26</v>
      </c>
      <c r="B18" s="2"/>
      <c r="C18" s="2"/>
      <c r="D18" s="2"/>
      <c r="E18" s="2"/>
      <c r="F18" s="2"/>
      <c r="G18" s="2"/>
      <c r="H18" s="2"/>
      <c r="I18" s="3"/>
    </row>
    <row r="19">
      <c r="A19" s="22" t="s">
        <v>27</v>
      </c>
      <c r="B19" s="2"/>
      <c r="C19" s="2"/>
      <c r="D19" s="2"/>
      <c r="E19" s="2"/>
      <c r="F19" s="2"/>
      <c r="G19" s="2"/>
      <c r="H19" s="2"/>
      <c r="I19" s="3"/>
    </row>
    <row r="20">
      <c r="A20" s="22" t="s">
        <v>28</v>
      </c>
      <c r="B20" s="2"/>
      <c r="C20" s="2"/>
      <c r="D20" s="2"/>
      <c r="E20" s="2"/>
      <c r="F20" s="2"/>
      <c r="G20" s="2"/>
      <c r="H20" s="2"/>
      <c r="I20" s="3"/>
    </row>
    <row r="21" ht="15.75" customHeight="1">
      <c r="A21" s="22" t="s">
        <v>29</v>
      </c>
      <c r="B21" s="2"/>
      <c r="C21" s="2"/>
      <c r="D21" s="2"/>
      <c r="E21" s="2"/>
      <c r="F21" s="2"/>
      <c r="G21" s="2"/>
      <c r="H21" s="2"/>
      <c r="I21" s="3"/>
    </row>
    <row r="22" ht="15.75" customHeight="1">
      <c r="A22" s="22" t="s">
        <v>30</v>
      </c>
      <c r="B22" s="2"/>
      <c r="C22" s="2"/>
      <c r="D22" s="2"/>
      <c r="E22" s="2"/>
      <c r="F22" s="2"/>
      <c r="G22" s="2"/>
      <c r="H22" s="2"/>
      <c r="I22" s="3"/>
    </row>
    <row r="23" ht="15.75" customHeight="1">
      <c r="A23" s="23" t="s">
        <v>31</v>
      </c>
      <c r="B23" s="2"/>
      <c r="C23" s="2"/>
      <c r="D23" s="2"/>
      <c r="E23" s="2"/>
      <c r="F23" s="2"/>
      <c r="G23" s="2"/>
      <c r="H23" s="2"/>
      <c r="I23" s="3"/>
    </row>
    <row r="24" ht="15.75" customHeight="1">
      <c r="A24" s="23" t="s">
        <v>32</v>
      </c>
      <c r="B24" s="2"/>
      <c r="C24" s="2"/>
      <c r="D24" s="2"/>
      <c r="E24" s="2"/>
      <c r="F24" s="2"/>
      <c r="G24" s="2"/>
      <c r="H24" s="2"/>
      <c r="I24" s="3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4:F4"/>
    <mergeCell ref="G4:H4"/>
    <mergeCell ref="A18:I18"/>
    <mergeCell ref="A19:I19"/>
    <mergeCell ref="A20:I20"/>
    <mergeCell ref="A21:I21"/>
    <mergeCell ref="A22:I22"/>
    <mergeCell ref="A23:I23"/>
    <mergeCell ref="A24:I24"/>
    <mergeCell ref="A1:I1"/>
    <mergeCell ref="A3:B3"/>
    <mergeCell ref="C3:D3"/>
    <mergeCell ref="E3:F3"/>
    <mergeCell ref="G3:H3"/>
    <mergeCell ref="A4:B4"/>
    <mergeCell ref="C4:D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1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22.0"/>
    <col customWidth="1" min="4" max="4" width="55.0"/>
    <col customWidth="1" min="5" max="5" width="18.0"/>
    <col customWidth="1" min="6" max="6" width="14.0"/>
    <col customWidth="1" min="7" max="7" width="18.0"/>
    <col customWidth="1" min="8" max="26" width="8.71"/>
  </cols>
  <sheetData>
    <row r="1">
      <c r="A1" s="24" t="s">
        <v>33</v>
      </c>
      <c r="B1" s="24" t="s">
        <v>34</v>
      </c>
      <c r="C1" s="24" t="s">
        <v>35</v>
      </c>
      <c r="D1" s="24" t="s">
        <v>36</v>
      </c>
      <c r="E1" s="24" t="s">
        <v>37</v>
      </c>
      <c r="F1" s="24" t="s">
        <v>38</v>
      </c>
      <c r="G1" s="24" t="s">
        <v>39</v>
      </c>
    </row>
    <row r="2">
      <c r="A2" s="25" t="s">
        <v>40</v>
      </c>
      <c r="B2" s="26">
        <v>45941.0</v>
      </c>
      <c r="C2" s="27" t="s">
        <v>41</v>
      </c>
      <c r="D2" s="27" t="s">
        <v>42</v>
      </c>
      <c r="E2" s="27" t="s">
        <v>43</v>
      </c>
      <c r="F2" s="28" t="s">
        <v>18</v>
      </c>
      <c r="G2" s="27" t="s">
        <v>44</v>
      </c>
    </row>
    <row r="3">
      <c r="A3" s="29" t="s">
        <v>45</v>
      </c>
      <c r="B3" s="30">
        <v>45931.0</v>
      </c>
      <c r="C3" s="31" t="s">
        <v>46</v>
      </c>
      <c r="D3" s="31" t="s">
        <v>47</v>
      </c>
      <c r="E3" s="31" t="s">
        <v>48</v>
      </c>
      <c r="F3" s="32" t="s">
        <v>24</v>
      </c>
      <c r="G3" s="31" t="s">
        <v>49</v>
      </c>
    </row>
    <row r="4">
      <c r="A4" s="25" t="s">
        <v>50</v>
      </c>
      <c r="B4" s="26">
        <v>45935.0</v>
      </c>
      <c r="C4" s="27" t="s">
        <v>51</v>
      </c>
      <c r="D4" s="27" t="s">
        <v>52</v>
      </c>
      <c r="E4" s="27" t="s">
        <v>53</v>
      </c>
      <c r="F4" s="28" t="s">
        <v>18</v>
      </c>
      <c r="G4" s="27" t="s">
        <v>54</v>
      </c>
    </row>
    <row r="5">
      <c r="A5" s="29" t="s">
        <v>55</v>
      </c>
      <c r="B5" s="30">
        <v>45934.0</v>
      </c>
      <c r="C5" s="31" t="s">
        <v>56</v>
      </c>
      <c r="D5" s="31" t="s">
        <v>57</v>
      </c>
      <c r="E5" s="31" t="s">
        <v>58</v>
      </c>
      <c r="F5" s="33" t="s">
        <v>18</v>
      </c>
      <c r="G5" s="31" t="s">
        <v>59</v>
      </c>
    </row>
    <row r="6">
      <c r="A6" s="25" t="s">
        <v>60</v>
      </c>
      <c r="B6" s="26">
        <v>45942.0</v>
      </c>
      <c r="C6" s="27" t="s">
        <v>61</v>
      </c>
      <c r="D6" s="27" t="s">
        <v>62</v>
      </c>
      <c r="E6" s="27" t="s">
        <v>63</v>
      </c>
      <c r="F6" s="28" t="s">
        <v>18</v>
      </c>
      <c r="G6" s="27" t="s">
        <v>64</v>
      </c>
    </row>
    <row r="7">
      <c r="A7" s="29" t="s">
        <v>65</v>
      </c>
      <c r="B7" s="30">
        <v>45941.0</v>
      </c>
      <c r="C7" s="31" t="s">
        <v>41</v>
      </c>
      <c r="D7" s="31" t="s">
        <v>66</v>
      </c>
      <c r="E7" s="31" t="s">
        <v>67</v>
      </c>
      <c r="F7" s="32" t="s">
        <v>24</v>
      </c>
      <c r="G7" s="31" t="s">
        <v>68</v>
      </c>
    </row>
    <row r="8">
      <c r="A8" s="25" t="s">
        <v>69</v>
      </c>
      <c r="B8" s="26">
        <v>45945.0</v>
      </c>
      <c r="C8" s="27" t="s">
        <v>46</v>
      </c>
      <c r="D8" s="27" t="s">
        <v>70</v>
      </c>
      <c r="E8" s="27" t="s">
        <v>71</v>
      </c>
      <c r="F8" s="34" t="s">
        <v>22</v>
      </c>
      <c r="G8" s="27" t="s">
        <v>72</v>
      </c>
    </row>
    <row r="9">
      <c r="A9" s="29" t="s">
        <v>73</v>
      </c>
      <c r="B9" s="30">
        <v>45932.0</v>
      </c>
      <c r="C9" s="31" t="s">
        <v>51</v>
      </c>
      <c r="D9" s="31" t="s">
        <v>74</v>
      </c>
      <c r="E9" s="31" t="s">
        <v>75</v>
      </c>
      <c r="F9" s="35" t="s">
        <v>22</v>
      </c>
      <c r="G9" s="31" t="s">
        <v>76</v>
      </c>
    </row>
    <row r="10">
      <c r="A10" s="25" t="s">
        <v>77</v>
      </c>
      <c r="B10" s="26">
        <v>45937.0</v>
      </c>
      <c r="C10" s="27" t="s">
        <v>56</v>
      </c>
      <c r="D10" s="27" t="s">
        <v>78</v>
      </c>
      <c r="E10" s="27" t="s">
        <v>79</v>
      </c>
      <c r="F10" s="28" t="s">
        <v>18</v>
      </c>
      <c r="G10" s="27" t="s">
        <v>80</v>
      </c>
    </row>
    <row r="11">
      <c r="A11" s="29" t="s">
        <v>81</v>
      </c>
      <c r="B11" s="30">
        <v>45931.0</v>
      </c>
      <c r="C11" s="31" t="s">
        <v>61</v>
      </c>
      <c r="D11" s="31" t="s">
        <v>82</v>
      </c>
      <c r="E11" s="31" t="s">
        <v>83</v>
      </c>
      <c r="F11" s="33" t="s">
        <v>18</v>
      </c>
      <c r="G11" s="31" t="s">
        <v>84</v>
      </c>
    </row>
    <row r="12">
      <c r="A12" s="25" t="s">
        <v>85</v>
      </c>
      <c r="B12" s="26">
        <v>45934.0</v>
      </c>
      <c r="C12" s="27" t="s">
        <v>41</v>
      </c>
      <c r="D12" s="27" t="s">
        <v>86</v>
      </c>
      <c r="E12" s="27" t="s">
        <v>87</v>
      </c>
      <c r="F12" s="28" t="s">
        <v>18</v>
      </c>
      <c r="G12" s="27" t="s">
        <v>88</v>
      </c>
    </row>
    <row r="13">
      <c r="A13" s="29" t="s">
        <v>89</v>
      </c>
      <c r="B13" s="30">
        <v>45939.0</v>
      </c>
      <c r="C13" s="31" t="s">
        <v>46</v>
      </c>
      <c r="D13" s="31" t="s">
        <v>90</v>
      </c>
      <c r="E13" s="31" t="s">
        <v>91</v>
      </c>
      <c r="F13" s="35" t="s">
        <v>22</v>
      </c>
      <c r="G13" s="31" t="s">
        <v>92</v>
      </c>
    </row>
    <row r="14">
      <c r="A14" s="25" t="s">
        <v>93</v>
      </c>
      <c r="B14" s="26">
        <v>45931.0</v>
      </c>
      <c r="C14" s="27" t="s">
        <v>51</v>
      </c>
      <c r="D14" s="27" t="s">
        <v>94</v>
      </c>
      <c r="E14" s="27" t="s">
        <v>95</v>
      </c>
      <c r="F14" s="34" t="s">
        <v>22</v>
      </c>
      <c r="G14" s="27" t="s">
        <v>96</v>
      </c>
    </row>
    <row r="15">
      <c r="A15" s="29" t="s">
        <v>97</v>
      </c>
      <c r="B15" s="30">
        <v>45934.0</v>
      </c>
      <c r="C15" s="31" t="s">
        <v>56</v>
      </c>
      <c r="D15" s="31" t="s">
        <v>98</v>
      </c>
      <c r="E15" s="31" t="s">
        <v>99</v>
      </c>
      <c r="F15" s="32" t="s">
        <v>24</v>
      </c>
      <c r="G15" s="31" t="s">
        <v>100</v>
      </c>
    </row>
    <row r="16">
      <c r="A16" s="25" t="s">
        <v>101</v>
      </c>
      <c r="B16" s="26">
        <v>45941.0</v>
      </c>
      <c r="C16" s="27" t="s">
        <v>61</v>
      </c>
      <c r="D16" s="27" t="s">
        <v>102</v>
      </c>
      <c r="E16" s="27" t="s">
        <v>103</v>
      </c>
      <c r="F16" s="36" t="s">
        <v>24</v>
      </c>
      <c r="G16" s="27" t="s">
        <v>104</v>
      </c>
    </row>
    <row r="17">
      <c r="A17" s="29" t="s">
        <v>105</v>
      </c>
      <c r="B17" s="30">
        <v>45939.0</v>
      </c>
      <c r="C17" s="31" t="s">
        <v>41</v>
      </c>
      <c r="D17" s="31" t="s">
        <v>106</v>
      </c>
      <c r="E17" s="31" t="s">
        <v>43</v>
      </c>
      <c r="F17" s="31" t="s">
        <v>20</v>
      </c>
      <c r="G17" s="31" t="s">
        <v>107</v>
      </c>
    </row>
    <row r="18">
      <c r="A18" s="25" t="s">
        <v>108</v>
      </c>
      <c r="B18" s="26">
        <v>45934.0</v>
      </c>
      <c r="C18" s="27" t="s">
        <v>46</v>
      </c>
      <c r="D18" s="27" t="s">
        <v>109</v>
      </c>
      <c r="E18" s="27" t="s">
        <v>48</v>
      </c>
      <c r="F18" s="27" t="s">
        <v>20</v>
      </c>
      <c r="G18" s="27" t="s">
        <v>110</v>
      </c>
    </row>
    <row r="19">
      <c r="A19" s="29" t="s">
        <v>111</v>
      </c>
      <c r="B19" s="30">
        <v>45940.0</v>
      </c>
      <c r="C19" s="31" t="s">
        <v>51</v>
      </c>
      <c r="D19" s="31" t="s">
        <v>112</v>
      </c>
      <c r="E19" s="31" t="s">
        <v>53</v>
      </c>
      <c r="F19" s="33" t="s">
        <v>18</v>
      </c>
      <c r="G19" s="31" t="s">
        <v>113</v>
      </c>
    </row>
    <row r="20">
      <c r="A20" s="25" t="s">
        <v>114</v>
      </c>
      <c r="B20" s="26">
        <v>45943.0</v>
      </c>
      <c r="C20" s="27" t="s">
        <v>56</v>
      </c>
      <c r="D20" s="27" t="s">
        <v>115</v>
      </c>
      <c r="E20" s="27" t="s">
        <v>58</v>
      </c>
      <c r="F20" s="28" t="s">
        <v>18</v>
      </c>
      <c r="G20" s="27" t="s">
        <v>116</v>
      </c>
    </row>
    <row r="21" ht="15.75" customHeight="1">
      <c r="A21" s="29" t="s">
        <v>117</v>
      </c>
      <c r="B21" s="30">
        <v>45943.0</v>
      </c>
      <c r="C21" s="31" t="s">
        <v>61</v>
      </c>
      <c r="D21" s="31" t="s">
        <v>118</v>
      </c>
      <c r="E21" s="31" t="s">
        <v>63</v>
      </c>
      <c r="F21" s="33" t="s">
        <v>18</v>
      </c>
      <c r="G21" s="31" t="s">
        <v>119</v>
      </c>
    </row>
    <row r="22" ht="15.75" customHeight="1">
      <c r="A22" s="25" t="s">
        <v>120</v>
      </c>
      <c r="B22" s="26">
        <v>45942.0</v>
      </c>
      <c r="C22" s="27" t="s">
        <v>41</v>
      </c>
      <c r="D22" s="27" t="s">
        <v>121</v>
      </c>
      <c r="E22" s="27" t="s">
        <v>67</v>
      </c>
      <c r="F22" s="27" t="s">
        <v>20</v>
      </c>
      <c r="G22" s="27" t="s">
        <v>122</v>
      </c>
    </row>
    <row r="23" ht="15.75" customHeight="1">
      <c r="A23" s="29" t="s">
        <v>123</v>
      </c>
      <c r="B23" s="30">
        <v>45936.0</v>
      </c>
      <c r="C23" s="31" t="s">
        <v>46</v>
      </c>
      <c r="D23" s="31" t="s">
        <v>124</v>
      </c>
      <c r="E23" s="31" t="s">
        <v>71</v>
      </c>
      <c r="F23" s="33" t="s">
        <v>18</v>
      </c>
      <c r="G23" s="31" t="s">
        <v>125</v>
      </c>
    </row>
    <row r="24" ht="15.75" customHeight="1">
      <c r="A24" s="25" t="s">
        <v>126</v>
      </c>
      <c r="B24" s="26">
        <v>45933.0</v>
      </c>
      <c r="C24" s="27" t="s">
        <v>51</v>
      </c>
      <c r="D24" s="27" t="s">
        <v>127</v>
      </c>
      <c r="E24" s="27" t="s">
        <v>75</v>
      </c>
      <c r="F24" s="28" t="s">
        <v>18</v>
      </c>
      <c r="G24" s="27" t="s">
        <v>128</v>
      </c>
    </row>
    <row r="25" ht="15.75" customHeight="1">
      <c r="A25" s="29" t="s">
        <v>129</v>
      </c>
      <c r="B25" s="30">
        <v>45943.0</v>
      </c>
      <c r="C25" s="31" t="s">
        <v>56</v>
      </c>
      <c r="D25" s="31" t="s">
        <v>130</v>
      </c>
      <c r="E25" s="31" t="s">
        <v>79</v>
      </c>
      <c r="F25" s="33" t="s">
        <v>18</v>
      </c>
      <c r="G25" s="31" t="s">
        <v>131</v>
      </c>
    </row>
    <row r="26" ht="15.75" customHeight="1">
      <c r="A26" s="25" t="s">
        <v>132</v>
      </c>
      <c r="B26" s="26">
        <v>45932.0</v>
      </c>
      <c r="C26" s="27" t="s">
        <v>61</v>
      </c>
      <c r="D26" s="27" t="s">
        <v>133</v>
      </c>
      <c r="E26" s="27" t="s">
        <v>83</v>
      </c>
      <c r="F26" s="28" t="s">
        <v>18</v>
      </c>
      <c r="G26" s="27" t="s">
        <v>134</v>
      </c>
    </row>
    <row r="27" ht="15.75" customHeight="1">
      <c r="A27" s="29" t="s">
        <v>135</v>
      </c>
      <c r="B27" s="30">
        <v>45937.0</v>
      </c>
      <c r="C27" s="31" t="s">
        <v>41</v>
      </c>
      <c r="D27" s="31" t="s">
        <v>136</v>
      </c>
      <c r="E27" s="31" t="s">
        <v>87</v>
      </c>
      <c r="F27" s="33" t="s">
        <v>18</v>
      </c>
      <c r="G27" s="31"/>
    </row>
    <row r="28" ht="15.75" customHeight="1">
      <c r="A28" s="25" t="s">
        <v>137</v>
      </c>
      <c r="B28" s="26">
        <v>45936.0</v>
      </c>
      <c r="C28" s="27" t="s">
        <v>46</v>
      </c>
      <c r="D28" s="27" t="s">
        <v>138</v>
      </c>
      <c r="E28" s="27" t="s">
        <v>91</v>
      </c>
      <c r="F28" s="28" t="s">
        <v>18</v>
      </c>
      <c r="G28" s="27"/>
    </row>
    <row r="29" ht="15.75" customHeight="1">
      <c r="A29" s="29" t="s">
        <v>139</v>
      </c>
      <c r="B29" s="30">
        <v>45940.0</v>
      </c>
      <c r="C29" s="31" t="s">
        <v>51</v>
      </c>
      <c r="D29" s="31" t="s">
        <v>140</v>
      </c>
      <c r="E29" s="31" t="s">
        <v>95</v>
      </c>
      <c r="F29" s="33" t="s">
        <v>18</v>
      </c>
      <c r="G29" s="31"/>
    </row>
    <row r="30" ht="15.75" customHeight="1">
      <c r="A30" s="25" t="s">
        <v>141</v>
      </c>
      <c r="B30" s="26">
        <v>45943.0</v>
      </c>
      <c r="C30" s="27" t="s">
        <v>56</v>
      </c>
      <c r="D30" s="27" t="s">
        <v>142</v>
      </c>
      <c r="E30" s="27" t="s">
        <v>99</v>
      </c>
      <c r="F30" s="28" t="s">
        <v>18</v>
      </c>
      <c r="G30" s="27"/>
    </row>
    <row r="31" ht="15.75" customHeight="1">
      <c r="A31" s="29" t="s">
        <v>143</v>
      </c>
      <c r="B31" s="30">
        <v>45942.0</v>
      </c>
      <c r="C31" s="31" t="s">
        <v>61</v>
      </c>
      <c r="D31" s="31" t="s">
        <v>144</v>
      </c>
      <c r="E31" s="31" t="s">
        <v>103</v>
      </c>
      <c r="F31" s="31" t="s">
        <v>20</v>
      </c>
      <c r="G31" s="3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4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14"/>
    <col customWidth="1" min="3" max="3" width="12.0"/>
    <col customWidth="1" min="4" max="4" width="22.0"/>
    <col customWidth="1" min="5" max="5" width="55.0"/>
    <col customWidth="1" min="6" max="6" width="35.0"/>
    <col customWidth="1" min="7" max="7" width="12.0"/>
    <col customWidth="1" min="8" max="26" width="8.71"/>
  </cols>
  <sheetData>
    <row r="1">
      <c r="A1" s="37" t="s">
        <v>145</v>
      </c>
      <c r="B1" s="37" t="s">
        <v>34</v>
      </c>
      <c r="C1" s="37" t="s">
        <v>33</v>
      </c>
      <c r="D1" s="37" t="s">
        <v>146</v>
      </c>
      <c r="E1" s="37" t="s">
        <v>147</v>
      </c>
      <c r="F1" s="37" t="s">
        <v>148</v>
      </c>
      <c r="G1" s="37" t="s">
        <v>149</v>
      </c>
    </row>
    <row r="2">
      <c r="A2" s="25" t="s">
        <v>44</v>
      </c>
      <c r="B2" s="26">
        <v>46014.0</v>
      </c>
      <c r="C2" s="27" t="s">
        <v>40</v>
      </c>
      <c r="D2" s="27" t="s">
        <v>41</v>
      </c>
      <c r="E2" s="27" t="s">
        <v>150</v>
      </c>
      <c r="F2" s="27" t="s">
        <v>151</v>
      </c>
      <c r="G2" s="38" t="s">
        <v>152</v>
      </c>
    </row>
    <row r="3">
      <c r="A3" s="29" t="s">
        <v>49</v>
      </c>
      <c r="B3" s="30">
        <v>45956.0</v>
      </c>
      <c r="C3" s="31" t="s">
        <v>45</v>
      </c>
      <c r="D3" s="31" t="s">
        <v>61</v>
      </c>
      <c r="E3" s="31" t="s">
        <v>153</v>
      </c>
      <c r="F3" s="31" t="s">
        <v>154</v>
      </c>
      <c r="G3" s="39" t="s">
        <v>155</v>
      </c>
    </row>
    <row r="4">
      <c r="A4" s="25" t="s">
        <v>54</v>
      </c>
      <c r="B4" s="26">
        <v>45992.0</v>
      </c>
      <c r="C4" s="27" t="s">
        <v>50</v>
      </c>
      <c r="D4" s="27" t="s">
        <v>61</v>
      </c>
      <c r="E4" s="27" t="s">
        <v>156</v>
      </c>
      <c r="F4" s="27" t="s">
        <v>157</v>
      </c>
      <c r="G4" s="40" t="s">
        <v>155</v>
      </c>
    </row>
    <row r="5">
      <c r="A5" s="29" t="s">
        <v>59</v>
      </c>
      <c r="B5" s="30">
        <v>45954.0</v>
      </c>
      <c r="C5" s="31" t="s">
        <v>55</v>
      </c>
      <c r="D5" s="31" t="s">
        <v>41</v>
      </c>
      <c r="E5" s="31" t="s">
        <v>158</v>
      </c>
      <c r="F5" s="31" t="s">
        <v>159</v>
      </c>
      <c r="G5" s="39" t="s">
        <v>155</v>
      </c>
    </row>
    <row r="6">
      <c r="A6" s="25" t="s">
        <v>64</v>
      </c>
      <c r="B6" s="26">
        <v>45983.0</v>
      </c>
      <c r="C6" s="27" t="s">
        <v>60</v>
      </c>
      <c r="D6" s="27" t="s">
        <v>41</v>
      </c>
      <c r="E6" s="27" t="s">
        <v>160</v>
      </c>
      <c r="F6" s="27" t="s">
        <v>161</v>
      </c>
      <c r="G6" s="40" t="s">
        <v>155</v>
      </c>
    </row>
    <row r="7">
      <c r="A7" s="29" t="s">
        <v>68</v>
      </c>
      <c r="B7" s="30">
        <v>45958.0</v>
      </c>
      <c r="C7" s="31" t="s">
        <v>65</v>
      </c>
      <c r="D7" s="31" t="s">
        <v>56</v>
      </c>
      <c r="E7" s="31" t="s">
        <v>162</v>
      </c>
      <c r="F7" s="31" t="s">
        <v>163</v>
      </c>
      <c r="G7" s="39" t="s">
        <v>155</v>
      </c>
    </row>
    <row r="8">
      <c r="A8" s="25" t="s">
        <v>72</v>
      </c>
      <c r="B8" s="26">
        <v>46004.0</v>
      </c>
      <c r="C8" s="27" t="s">
        <v>69</v>
      </c>
      <c r="D8" s="27" t="s">
        <v>51</v>
      </c>
      <c r="E8" s="27" t="s">
        <v>164</v>
      </c>
      <c r="F8" s="27" t="s">
        <v>165</v>
      </c>
      <c r="G8" s="40" t="s">
        <v>155</v>
      </c>
    </row>
    <row r="9">
      <c r="A9" s="29" t="s">
        <v>76</v>
      </c>
      <c r="B9" s="30">
        <v>45993.0</v>
      </c>
      <c r="C9" s="31" t="s">
        <v>73</v>
      </c>
      <c r="D9" s="31" t="s">
        <v>51</v>
      </c>
      <c r="E9" s="31" t="s">
        <v>166</v>
      </c>
      <c r="F9" s="31" t="s">
        <v>167</v>
      </c>
      <c r="G9" s="39" t="s">
        <v>155</v>
      </c>
    </row>
    <row r="10">
      <c r="A10" s="25" t="s">
        <v>80</v>
      </c>
      <c r="B10" s="26">
        <v>45980.0</v>
      </c>
      <c r="C10" s="27" t="s">
        <v>77</v>
      </c>
      <c r="D10" s="27" t="s">
        <v>41</v>
      </c>
      <c r="E10" s="27" t="s">
        <v>168</v>
      </c>
      <c r="F10" s="27" t="s">
        <v>169</v>
      </c>
      <c r="G10" s="38" t="s">
        <v>152</v>
      </c>
    </row>
    <row r="11">
      <c r="A11" s="29" t="s">
        <v>84</v>
      </c>
      <c r="B11" s="30">
        <v>45967.0</v>
      </c>
      <c r="C11" s="31" t="s">
        <v>81</v>
      </c>
      <c r="D11" s="31" t="s">
        <v>61</v>
      </c>
      <c r="E11" s="31" t="s">
        <v>170</v>
      </c>
      <c r="F11" s="31" t="s">
        <v>171</v>
      </c>
      <c r="G11" s="39" t="s">
        <v>155</v>
      </c>
    </row>
    <row r="12">
      <c r="A12" s="25" t="s">
        <v>88</v>
      </c>
      <c r="B12" s="26">
        <v>45966.0</v>
      </c>
      <c r="C12" s="27" t="s">
        <v>85</v>
      </c>
      <c r="D12" s="27" t="s">
        <v>56</v>
      </c>
      <c r="E12" s="27" t="s">
        <v>172</v>
      </c>
      <c r="F12" s="27" t="s">
        <v>173</v>
      </c>
      <c r="G12" s="38" t="s">
        <v>152</v>
      </c>
    </row>
    <row r="13">
      <c r="A13" s="29" t="s">
        <v>92</v>
      </c>
      <c r="B13" s="30">
        <v>45980.0</v>
      </c>
      <c r="C13" s="31" t="s">
        <v>89</v>
      </c>
      <c r="D13" s="31" t="s">
        <v>61</v>
      </c>
      <c r="E13" s="31" t="s">
        <v>174</v>
      </c>
      <c r="F13" s="31" t="s">
        <v>175</v>
      </c>
      <c r="G13" s="39" t="s">
        <v>155</v>
      </c>
    </row>
    <row r="14">
      <c r="A14" s="25" t="s">
        <v>96</v>
      </c>
      <c r="B14" s="26">
        <v>45987.0</v>
      </c>
      <c r="C14" s="27" t="s">
        <v>93</v>
      </c>
      <c r="D14" s="27" t="s">
        <v>41</v>
      </c>
      <c r="E14" s="27" t="s">
        <v>176</v>
      </c>
      <c r="F14" s="27" t="s">
        <v>177</v>
      </c>
      <c r="G14" s="40" t="s">
        <v>155</v>
      </c>
    </row>
    <row r="15">
      <c r="A15" s="29" t="s">
        <v>100</v>
      </c>
      <c r="B15" s="30">
        <v>45950.0</v>
      </c>
      <c r="C15" s="31" t="s">
        <v>97</v>
      </c>
      <c r="D15" s="31" t="s">
        <v>51</v>
      </c>
      <c r="E15" s="31" t="s">
        <v>178</v>
      </c>
      <c r="F15" s="31" t="s">
        <v>179</v>
      </c>
      <c r="G15" s="41" t="s">
        <v>152</v>
      </c>
    </row>
    <row r="16">
      <c r="A16" s="25" t="s">
        <v>104</v>
      </c>
      <c r="B16" s="26">
        <v>45980.0</v>
      </c>
      <c r="C16" s="27" t="s">
        <v>101</v>
      </c>
      <c r="D16" s="27" t="s">
        <v>41</v>
      </c>
      <c r="E16" s="27" t="s">
        <v>180</v>
      </c>
      <c r="F16" s="27" t="s">
        <v>181</v>
      </c>
      <c r="G16" s="40" t="s">
        <v>155</v>
      </c>
    </row>
    <row r="17">
      <c r="A17" s="29" t="s">
        <v>107</v>
      </c>
      <c r="B17" s="30">
        <v>46018.0</v>
      </c>
      <c r="C17" s="31" t="s">
        <v>105</v>
      </c>
      <c r="D17" s="31" t="s">
        <v>51</v>
      </c>
      <c r="E17" s="31" t="s">
        <v>182</v>
      </c>
      <c r="F17" s="31" t="s">
        <v>183</v>
      </c>
      <c r="G17" s="39" t="s">
        <v>155</v>
      </c>
    </row>
    <row r="18">
      <c r="A18" s="25" t="s">
        <v>110</v>
      </c>
      <c r="B18" s="26">
        <v>46009.0</v>
      </c>
      <c r="C18" s="27" t="s">
        <v>108</v>
      </c>
      <c r="D18" s="27" t="s">
        <v>56</v>
      </c>
      <c r="E18" s="27" t="s">
        <v>184</v>
      </c>
      <c r="F18" s="27" t="s">
        <v>185</v>
      </c>
      <c r="G18" s="38" t="s">
        <v>152</v>
      </c>
    </row>
    <row r="19">
      <c r="A19" s="29" t="s">
        <v>113</v>
      </c>
      <c r="B19" s="30">
        <v>45964.0</v>
      </c>
      <c r="C19" s="31" t="s">
        <v>111</v>
      </c>
      <c r="D19" s="31" t="s">
        <v>51</v>
      </c>
      <c r="E19" s="31" t="s">
        <v>186</v>
      </c>
      <c r="F19" s="31" t="s">
        <v>187</v>
      </c>
      <c r="G19" s="39" t="s">
        <v>155</v>
      </c>
    </row>
    <row r="20">
      <c r="A20" s="25" t="s">
        <v>116</v>
      </c>
      <c r="B20" s="26">
        <v>45977.0</v>
      </c>
      <c r="C20" s="27" t="s">
        <v>114</v>
      </c>
      <c r="D20" s="27" t="s">
        <v>61</v>
      </c>
      <c r="E20" s="27" t="s">
        <v>188</v>
      </c>
      <c r="F20" s="27" t="s">
        <v>189</v>
      </c>
      <c r="G20" s="38" t="s">
        <v>152</v>
      </c>
    </row>
    <row r="21" ht="15.75" customHeight="1">
      <c r="A21" s="29" t="s">
        <v>119</v>
      </c>
      <c r="B21" s="30">
        <v>45979.0</v>
      </c>
      <c r="C21" s="31" t="s">
        <v>117</v>
      </c>
      <c r="D21" s="31" t="s">
        <v>61</v>
      </c>
      <c r="E21" s="31" t="s">
        <v>190</v>
      </c>
      <c r="F21" s="31" t="s">
        <v>191</v>
      </c>
      <c r="G21" s="41" t="s">
        <v>152</v>
      </c>
    </row>
    <row r="22" ht="15.75" customHeight="1">
      <c r="A22" s="25" t="s">
        <v>122</v>
      </c>
      <c r="B22" s="26">
        <v>46020.0</v>
      </c>
      <c r="C22" s="27" t="s">
        <v>120</v>
      </c>
      <c r="D22" s="27" t="s">
        <v>56</v>
      </c>
      <c r="E22" s="27" t="s">
        <v>150</v>
      </c>
      <c r="F22" s="27" t="s">
        <v>192</v>
      </c>
      <c r="G22" s="40" t="s">
        <v>155</v>
      </c>
    </row>
    <row r="23" ht="15.75" customHeight="1">
      <c r="A23" s="29" t="s">
        <v>125</v>
      </c>
      <c r="B23" s="30">
        <v>45974.0</v>
      </c>
      <c r="C23" s="31" t="s">
        <v>123</v>
      </c>
      <c r="D23" s="31" t="s">
        <v>46</v>
      </c>
      <c r="E23" s="31" t="s">
        <v>153</v>
      </c>
      <c r="F23" s="31" t="s">
        <v>193</v>
      </c>
      <c r="G23" s="41" t="s">
        <v>152</v>
      </c>
    </row>
    <row r="24" ht="15.75" customHeight="1">
      <c r="A24" s="25" t="s">
        <v>128</v>
      </c>
      <c r="B24" s="26">
        <v>46009.0</v>
      </c>
      <c r="C24" s="27" t="s">
        <v>126</v>
      </c>
      <c r="D24" s="27" t="s">
        <v>41</v>
      </c>
      <c r="E24" s="27" t="s">
        <v>156</v>
      </c>
      <c r="F24" s="27" t="s">
        <v>194</v>
      </c>
      <c r="G24" s="40" t="s">
        <v>155</v>
      </c>
    </row>
    <row r="25" ht="15.75" customHeight="1">
      <c r="A25" s="29" t="s">
        <v>131</v>
      </c>
      <c r="B25" s="30">
        <v>45960.0</v>
      </c>
      <c r="C25" s="31" t="s">
        <v>129</v>
      </c>
      <c r="D25" s="31" t="s">
        <v>46</v>
      </c>
      <c r="E25" s="31" t="s">
        <v>158</v>
      </c>
      <c r="F25" s="31" t="s">
        <v>195</v>
      </c>
      <c r="G25" s="39" t="s">
        <v>155</v>
      </c>
    </row>
    <row r="26" ht="15.75" customHeight="1">
      <c r="A26" s="25" t="s">
        <v>134</v>
      </c>
      <c r="B26" s="26">
        <v>46000.0</v>
      </c>
      <c r="C26" s="27" t="s">
        <v>132</v>
      </c>
      <c r="D26" s="27" t="s">
        <v>61</v>
      </c>
      <c r="E26" s="27" t="s">
        <v>160</v>
      </c>
      <c r="F26" s="27" t="s">
        <v>196</v>
      </c>
      <c r="G26" s="40" t="s">
        <v>155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6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88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29"/>
    <col customWidth="1" min="3" max="4" width="12.0"/>
    <col customWidth="1" min="5" max="5" width="55.0"/>
    <col customWidth="1" min="6" max="6" width="15.0"/>
    <col customWidth="1" min="7" max="7" width="12.0"/>
    <col customWidth="1" min="8" max="8" width="22.0"/>
    <col customWidth="1" min="9" max="26" width="8.71"/>
  </cols>
  <sheetData>
    <row r="1">
      <c r="A1" s="42" t="s">
        <v>197</v>
      </c>
      <c r="B1" s="42" t="s">
        <v>34</v>
      </c>
      <c r="C1" s="42" t="s">
        <v>33</v>
      </c>
      <c r="D1" s="42" t="s">
        <v>145</v>
      </c>
      <c r="E1" s="42" t="s">
        <v>198</v>
      </c>
      <c r="F1" s="42" t="s">
        <v>199</v>
      </c>
      <c r="G1" s="42" t="s">
        <v>200</v>
      </c>
      <c r="H1" s="42" t="s">
        <v>201</v>
      </c>
    </row>
    <row r="2">
      <c r="A2" s="25" t="s">
        <v>202</v>
      </c>
      <c r="B2" s="26">
        <v>46010.0</v>
      </c>
      <c r="C2" s="27" t="s">
        <v>40</v>
      </c>
      <c r="D2" s="27" t="s">
        <v>44</v>
      </c>
      <c r="E2" s="27" t="s">
        <v>203</v>
      </c>
      <c r="F2" s="38" t="s">
        <v>152</v>
      </c>
      <c r="G2" s="40" t="s">
        <v>17</v>
      </c>
      <c r="H2" s="27" t="s">
        <v>204</v>
      </c>
    </row>
    <row r="3">
      <c r="A3" s="29" t="s">
        <v>205</v>
      </c>
      <c r="B3" s="30">
        <v>46028.0</v>
      </c>
      <c r="C3" s="31" t="s">
        <v>45</v>
      </c>
      <c r="D3" s="31" t="s">
        <v>49</v>
      </c>
      <c r="E3" s="31" t="s">
        <v>206</v>
      </c>
      <c r="F3" s="39" t="s">
        <v>155</v>
      </c>
      <c r="G3" s="43" t="s">
        <v>23</v>
      </c>
      <c r="H3" s="31" t="s">
        <v>41</v>
      </c>
    </row>
    <row r="4">
      <c r="A4" s="25" t="s">
        <v>207</v>
      </c>
      <c r="B4" s="26">
        <v>46048.0</v>
      </c>
      <c r="C4" s="27" t="s">
        <v>50</v>
      </c>
      <c r="D4" s="27" t="s">
        <v>54</v>
      </c>
      <c r="E4" s="27" t="s">
        <v>208</v>
      </c>
      <c r="F4" s="40" t="s">
        <v>155</v>
      </c>
      <c r="G4" s="44" t="s">
        <v>19</v>
      </c>
      <c r="H4" s="27" t="s">
        <v>209</v>
      </c>
    </row>
    <row r="5">
      <c r="A5" s="29" t="s">
        <v>210</v>
      </c>
      <c r="B5" s="30">
        <v>46043.0</v>
      </c>
      <c r="C5" s="31" t="s">
        <v>55</v>
      </c>
      <c r="D5" s="31" t="s">
        <v>59</v>
      </c>
      <c r="E5" s="31" t="s">
        <v>211</v>
      </c>
      <c r="F5" s="39" t="s">
        <v>155</v>
      </c>
      <c r="G5" s="43" t="s">
        <v>23</v>
      </c>
      <c r="H5" s="31" t="s">
        <v>46</v>
      </c>
    </row>
    <row r="6">
      <c r="A6" s="25" t="s">
        <v>212</v>
      </c>
      <c r="B6" s="26">
        <v>45998.0</v>
      </c>
      <c r="C6" s="27" t="s">
        <v>60</v>
      </c>
      <c r="D6" s="27" t="s">
        <v>64</v>
      </c>
      <c r="E6" s="27" t="s">
        <v>213</v>
      </c>
      <c r="F6" s="38" t="s">
        <v>152</v>
      </c>
      <c r="G6" s="45" t="s">
        <v>21</v>
      </c>
      <c r="H6" s="27" t="s">
        <v>51</v>
      </c>
    </row>
    <row r="7">
      <c r="A7" s="29" t="s">
        <v>214</v>
      </c>
      <c r="B7" s="30">
        <v>46019.0</v>
      </c>
      <c r="C7" s="31" t="s">
        <v>65</v>
      </c>
      <c r="D7" s="31" t="s">
        <v>68</v>
      </c>
      <c r="E7" s="31" t="s">
        <v>215</v>
      </c>
      <c r="F7" s="39" t="s">
        <v>155</v>
      </c>
      <c r="G7" s="46" t="s">
        <v>19</v>
      </c>
      <c r="H7" s="31" t="s">
        <v>204</v>
      </c>
    </row>
    <row r="8">
      <c r="A8" s="25" t="s">
        <v>216</v>
      </c>
      <c r="B8" s="26">
        <v>46025.0</v>
      </c>
      <c r="C8" s="27" t="s">
        <v>69</v>
      </c>
      <c r="D8" s="27" t="s">
        <v>72</v>
      </c>
      <c r="E8" s="27" t="s">
        <v>217</v>
      </c>
      <c r="F8" s="40" t="s">
        <v>155</v>
      </c>
      <c r="G8" s="45" t="s">
        <v>23</v>
      </c>
      <c r="H8" s="27" t="s">
        <v>41</v>
      </c>
    </row>
    <row r="9">
      <c r="A9" s="29" t="s">
        <v>218</v>
      </c>
      <c r="B9" s="30">
        <v>46041.0</v>
      </c>
      <c r="C9" s="31" t="s">
        <v>73</v>
      </c>
      <c r="D9" s="31" t="s">
        <v>76</v>
      </c>
      <c r="E9" s="31" t="s">
        <v>219</v>
      </c>
      <c r="F9" s="39" t="s">
        <v>155</v>
      </c>
      <c r="G9" s="43" t="s">
        <v>21</v>
      </c>
      <c r="H9" s="31" t="s">
        <v>209</v>
      </c>
    </row>
    <row r="10">
      <c r="A10" s="25" t="s">
        <v>220</v>
      </c>
      <c r="B10" s="26">
        <v>45980.0</v>
      </c>
      <c r="C10" s="27" t="s">
        <v>77</v>
      </c>
      <c r="D10" s="27" t="s">
        <v>80</v>
      </c>
      <c r="E10" s="27" t="s">
        <v>221</v>
      </c>
      <c r="F10" s="40" t="s">
        <v>155</v>
      </c>
      <c r="G10" s="45" t="s">
        <v>21</v>
      </c>
      <c r="H10" s="27" t="s">
        <v>46</v>
      </c>
    </row>
    <row r="11">
      <c r="A11" s="29" t="s">
        <v>222</v>
      </c>
      <c r="B11" s="30">
        <v>46030.0</v>
      </c>
      <c r="C11" s="31" t="s">
        <v>81</v>
      </c>
      <c r="D11" s="31" t="s">
        <v>84</v>
      </c>
      <c r="E11" s="31" t="s">
        <v>223</v>
      </c>
      <c r="F11" s="41" t="s">
        <v>152</v>
      </c>
      <c r="G11" s="43" t="s">
        <v>23</v>
      </c>
      <c r="H11" s="31" t="s">
        <v>51</v>
      </c>
    </row>
    <row r="12">
      <c r="A12" s="25" t="s">
        <v>224</v>
      </c>
      <c r="B12" s="26">
        <v>46037.0</v>
      </c>
      <c r="C12" s="27" t="s">
        <v>85</v>
      </c>
      <c r="D12" s="27" t="s">
        <v>88</v>
      </c>
      <c r="E12" s="27" t="s">
        <v>225</v>
      </c>
      <c r="F12" s="40" t="s">
        <v>155</v>
      </c>
      <c r="G12" s="40" t="s">
        <v>17</v>
      </c>
      <c r="H12" s="27" t="s">
        <v>204</v>
      </c>
    </row>
    <row r="13">
      <c r="A13" s="29" t="s">
        <v>226</v>
      </c>
      <c r="B13" s="30">
        <v>45963.0</v>
      </c>
      <c r="C13" s="31" t="s">
        <v>89</v>
      </c>
      <c r="D13" s="31" t="s">
        <v>92</v>
      </c>
      <c r="E13" s="31" t="s">
        <v>227</v>
      </c>
      <c r="F13" s="39" t="s">
        <v>155</v>
      </c>
      <c r="G13" s="46" t="s">
        <v>19</v>
      </c>
      <c r="H13" s="31" t="s">
        <v>41</v>
      </c>
    </row>
    <row r="14">
      <c r="A14" s="25" t="s">
        <v>228</v>
      </c>
      <c r="B14" s="26">
        <v>46000.0</v>
      </c>
      <c r="C14" s="27" t="s">
        <v>93</v>
      </c>
      <c r="D14" s="27" t="s">
        <v>96</v>
      </c>
      <c r="E14" s="27" t="s">
        <v>229</v>
      </c>
      <c r="F14" s="40" t="s">
        <v>155</v>
      </c>
      <c r="G14" s="45" t="s">
        <v>23</v>
      </c>
      <c r="H14" s="27" t="s">
        <v>209</v>
      </c>
    </row>
    <row r="15">
      <c r="A15" s="29" t="s">
        <v>230</v>
      </c>
      <c r="B15" s="30">
        <v>45991.0</v>
      </c>
      <c r="C15" s="31" t="s">
        <v>97</v>
      </c>
      <c r="D15" s="31" t="s">
        <v>100</v>
      </c>
      <c r="E15" s="31" t="s">
        <v>231</v>
      </c>
      <c r="F15" s="41" t="s">
        <v>152</v>
      </c>
      <c r="G15" s="43" t="s">
        <v>23</v>
      </c>
      <c r="H15" s="31" t="s">
        <v>46</v>
      </c>
    </row>
    <row r="16">
      <c r="A16" s="25" t="s">
        <v>232</v>
      </c>
      <c r="B16" s="26">
        <v>45971.0</v>
      </c>
      <c r="C16" s="27" t="s">
        <v>101</v>
      </c>
      <c r="D16" s="27" t="s">
        <v>104</v>
      </c>
      <c r="E16" s="27" t="s">
        <v>233</v>
      </c>
      <c r="F16" s="38" t="s">
        <v>152</v>
      </c>
      <c r="G16" s="45" t="s">
        <v>23</v>
      </c>
      <c r="H16" s="27" t="s">
        <v>51</v>
      </c>
    </row>
    <row r="17">
      <c r="A17" s="29" t="s">
        <v>234</v>
      </c>
      <c r="B17" s="30">
        <v>46029.0</v>
      </c>
      <c r="C17" s="31" t="s">
        <v>105</v>
      </c>
      <c r="D17" s="31" t="s">
        <v>107</v>
      </c>
      <c r="E17" s="31" t="s">
        <v>203</v>
      </c>
      <c r="F17" s="39" t="s">
        <v>155</v>
      </c>
      <c r="G17" s="43" t="s">
        <v>21</v>
      </c>
      <c r="H17" s="31" t="s">
        <v>204</v>
      </c>
    </row>
    <row r="18">
      <c r="A18" s="25" t="s">
        <v>235</v>
      </c>
      <c r="B18" s="26">
        <v>46045.0</v>
      </c>
      <c r="C18" s="27" t="s">
        <v>108</v>
      </c>
      <c r="D18" s="27" t="s">
        <v>110</v>
      </c>
      <c r="E18" s="27" t="s">
        <v>206</v>
      </c>
      <c r="F18" s="38" t="s">
        <v>152</v>
      </c>
      <c r="G18" s="45" t="s">
        <v>21</v>
      </c>
      <c r="H18" s="27" t="s">
        <v>41</v>
      </c>
    </row>
    <row r="19">
      <c r="A19" s="29" t="s">
        <v>236</v>
      </c>
      <c r="B19" s="30">
        <v>45994.0</v>
      </c>
      <c r="C19" s="31" t="s">
        <v>111</v>
      </c>
      <c r="D19" s="31" t="s">
        <v>113</v>
      </c>
      <c r="E19" s="31" t="s">
        <v>208</v>
      </c>
      <c r="F19" s="41" t="s">
        <v>152</v>
      </c>
      <c r="G19" s="39" t="s">
        <v>17</v>
      </c>
      <c r="H19" s="31" t="s">
        <v>209</v>
      </c>
    </row>
    <row r="20">
      <c r="A20" s="25" t="s">
        <v>237</v>
      </c>
      <c r="B20" s="26">
        <v>45988.0</v>
      </c>
      <c r="C20" s="27" t="s">
        <v>114</v>
      </c>
      <c r="D20" s="27" t="s">
        <v>116</v>
      </c>
      <c r="E20" s="27" t="s">
        <v>211</v>
      </c>
      <c r="F20" s="38" t="s">
        <v>152</v>
      </c>
      <c r="G20" s="45" t="s">
        <v>21</v>
      </c>
      <c r="H20" s="27" t="s">
        <v>46</v>
      </c>
    </row>
    <row r="21" ht="15.75" customHeight="1">
      <c r="A21" s="29" t="s">
        <v>238</v>
      </c>
      <c r="B21" s="30">
        <v>46000.0</v>
      </c>
      <c r="C21" s="31" t="s">
        <v>117</v>
      </c>
      <c r="D21" s="31" t="s">
        <v>119</v>
      </c>
      <c r="E21" s="31" t="s">
        <v>213</v>
      </c>
      <c r="F21" s="41" t="s">
        <v>152</v>
      </c>
      <c r="G21" s="46" t="s">
        <v>19</v>
      </c>
      <c r="H21" s="31" t="s">
        <v>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1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67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71"/>
    <col customWidth="1" min="3" max="4" width="12.0"/>
    <col customWidth="1" min="5" max="5" width="55.0"/>
    <col customWidth="1" min="6" max="6" width="45.0"/>
    <col customWidth="1" min="7" max="7" width="22.0"/>
    <col customWidth="1" min="8" max="8" width="14.0"/>
    <col customWidth="1" min="9" max="26" width="8.71"/>
  </cols>
  <sheetData>
    <row r="1">
      <c r="A1" s="47" t="s">
        <v>239</v>
      </c>
      <c r="B1" s="47" t="s">
        <v>34</v>
      </c>
      <c r="C1" s="47" t="s">
        <v>197</v>
      </c>
      <c r="D1" s="47" t="s">
        <v>33</v>
      </c>
      <c r="E1" s="47" t="s">
        <v>240</v>
      </c>
      <c r="F1" s="47" t="s">
        <v>241</v>
      </c>
      <c r="G1" s="47" t="s">
        <v>242</v>
      </c>
      <c r="H1" s="47" t="s">
        <v>38</v>
      </c>
    </row>
    <row r="2">
      <c r="A2" s="25" t="s">
        <v>243</v>
      </c>
      <c r="B2" s="26">
        <v>46022.0</v>
      </c>
      <c r="C2" s="27" t="s">
        <v>202</v>
      </c>
      <c r="D2" s="27" t="s">
        <v>40</v>
      </c>
      <c r="E2" s="27" t="s">
        <v>244</v>
      </c>
      <c r="F2" s="27" t="s">
        <v>245</v>
      </c>
      <c r="G2" s="27" t="s">
        <v>56</v>
      </c>
      <c r="H2" s="48" t="s">
        <v>5</v>
      </c>
    </row>
    <row r="3">
      <c r="A3" s="29" t="s">
        <v>246</v>
      </c>
      <c r="B3" s="30">
        <v>46023.0</v>
      </c>
      <c r="C3" s="31" t="s">
        <v>205</v>
      </c>
      <c r="D3" s="31" t="s">
        <v>45</v>
      </c>
      <c r="E3" s="31" t="s">
        <v>247</v>
      </c>
      <c r="F3" s="31" t="s">
        <v>248</v>
      </c>
      <c r="G3" s="31" t="s">
        <v>51</v>
      </c>
      <c r="H3" s="39" t="s">
        <v>14</v>
      </c>
    </row>
    <row r="4">
      <c r="A4" s="25" t="s">
        <v>249</v>
      </c>
      <c r="B4" s="26">
        <v>45997.0</v>
      </c>
      <c r="C4" s="27" t="s">
        <v>207</v>
      </c>
      <c r="D4" s="27" t="s">
        <v>50</v>
      </c>
      <c r="E4" s="27" t="s">
        <v>250</v>
      </c>
      <c r="F4" s="27" t="s">
        <v>251</v>
      </c>
      <c r="G4" s="27" t="s">
        <v>252</v>
      </c>
      <c r="H4" s="45" t="s">
        <v>12</v>
      </c>
    </row>
    <row r="5">
      <c r="A5" s="29" t="s">
        <v>253</v>
      </c>
      <c r="B5" s="30">
        <v>45974.0</v>
      </c>
      <c r="C5" s="31" t="s">
        <v>210</v>
      </c>
      <c r="D5" s="31" t="s">
        <v>55</v>
      </c>
      <c r="E5" s="31" t="s">
        <v>254</v>
      </c>
      <c r="F5" s="31" t="s">
        <v>255</v>
      </c>
      <c r="G5" s="31" t="s">
        <v>56</v>
      </c>
      <c r="H5" s="43" t="s">
        <v>12</v>
      </c>
    </row>
    <row r="6">
      <c r="A6" s="25" t="s">
        <v>256</v>
      </c>
      <c r="B6" s="26">
        <v>45968.0</v>
      </c>
      <c r="C6" s="27" t="s">
        <v>212</v>
      </c>
      <c r="D6" s="27" t="s">
        <v>60</v>
      </c>
      <c r="E6" s="27" t="s">
        <v>257</v>
      </c>
      <c r="F6" s="27" t="s">
        <v>258</v>
      </c>
      <c r="G6" s="27" t="s">
        <v>56</v>
      </c>
      <c r="H6" s="48" t="s">
        <v>5</v>
      </c>
    </row>
    <row r="7">
      <c r="A7" s="29" t="s">
        <v>259</v>
      </c>
      <c r="B7" s="30">
        <v>46036.0</v>
      </c>
      <c r="C7" s="31" t="s">
        <v>214</v>
      </c>
      <c r="D7" s="31" t="s">
        <v>65</v>
      </c>
      <c r="E7" s="31" t="s">
        <v>260</v>
      </c>
      <c r="F7" s="31" t="s">
        <v>261</v>
      </c>
      <c r="G7" s="31" t="s">
        <v>51</v>
      </c>
      <c r="H7" s="43" t="s">
        <v>12</v>
      </c>
    </row>
    <row r="8">
      <c r="A8" s="25" t="s">
        <v>262</v>
      </c>
      <c r="B8" s="26">
        <v>46041.0</v>
      </c>
      <c r="C8" s="27" t="s">
        <v>216</v>
      </c>
      <c r="D8" s="27" t="s">
        <v>69</v>
      </c>
      <c r="E8" s="27" t="s">
        <v>263</v>
      </c>
      <c r="F8" s="27" t="s">
        <v>264</v>
      </c>
      <c r="G8" s="27" t="s">
        <v>252</v>
      </c>
      <c r="H8" s="45" t="s">
        <v>12</v>
      </c>
    </row>
    <row r="9">
      <c r="A9" s="29" t="s">
        <v>265</v>
      </c>
      <c r="B9" s="30">
        <v>45966.0</v>
      </c>
      <c r="C9" s="31" t="s">
        <v>218</v>
      </c>
      <c r="D9" s="31" t="s">
        <v>73</v>
      </c>
      <c r="E9" s="31" t="s">
        <v>266</v>
      </c>
      <c r="F9" s="31" t="s">
        <v>267</v>
      </c>
      <c r="G9" s="31" t="s">
        <v>56</v>
      </c>
      <c r="H9" s="39" t="s">
        <v>14</v>
      </c>
    </row>
    <row r="10">
      <c r="A10" s="25" t="s">
        <v>268</v>
      </c>
      <c r="B10" s="26">
        <v>46056.0</v>
      </c>
      <c r="C10" s="27" t="s">
        <v>220</v>
      </c>
      <c r="D10" s="27" t="s">
        <v>77</v>
      </c>
      <c r="E10" s="27" t="s">
        <v>269</v>
      </c>
      <c r="F10" s="27" t="s">
        <v>270</v>
      </c>
      <c r="G10" s="27" t="s">
        <v>56</v>
      </c>
      <c r="H10" s="48" t="s">
        <v>5</v>
      </c>
    </row>
    <row r="11">
      <c r="A11" s="29" t="s">
        <v>271</v>
      </c>
      <c r="B11" s="30">
        <v>45973.0</v>
      </c>
      <c r="C11" s="31" t="s">
        <v>222</v>
      </c>
      <c r="D11" s="31" t="s">
        <v>81</v>
      </c>
      <c r="E11" s="31" t="s">
        <v>272</v>
      </c>
      <c r="F11" s="31" t="s">
        <v>273</v>
      </c>
      <c r="G11" s="31" t="s">
        <v>51</v>
      </c>
      <c r="H11" s="43" t="s">
        <v>12</v>
      </c>
    </row>
    <row r="12">
      <c r="A12" s="25" t="s">
        <v>274</v>
      </c>
      <c r="B12" s="26">
        <v>45974.0</v>
      </c>
      <c r="C12" s="27" t="s">
        <v>224</v>
      </c>
      <c r="D12" s="27" t="s">
        <v>85</v>
      </c>
      <c r="E12" s="27" t="s">
        <v>275</v>
      </c>
      <c r="F12" s="27" t="s">
        <v>276</v>
      </c>
      <c r="G12" s="27" t="s">
        <v>252</v>
      </c>
      <c r="H12" s="40" t="s">
        <v>14</v>
      </c>
    </row>
    <row r="13">
      <c r="A13" s="29" t="s">
        <v>277</v>
      </c>
      <c r="B13" s="30">
        <v>46008.0</v>
      </c>
      <c r="C13" s="31" t="s">
        <v>226</v>
      </c>
      <c r="D13" s="31" t="s">
        <v>89</v>
      </c>
      <c r="E13" s="31" t="s">
        <v>278</v>
      </c>
      <c r="F13" s="31" t="s">
        <v>279</v>
      </c>
      <c r="G13" s="31" t="s">
        <v>56</v>
      </c>
      <c r="H13" s="39" t="s">
        <v>14</v>
      </c>
    </row>
    <row r="14">
      <c r="A14" s="25" t="s">
        <v>280</v>
      </c>
      <c r="B14" s="26">
        <v>46031.0</v>
      </c>
      <c r="C14" s="27" t="s">
        <v>228</v>
      </c>
      <c r="D14" s="27" t="s">
        <v>93</v>
      </c>
      <c r="E14" s="27" t="s">
        <v>281</v>
      </c>
      <c r="F14" s="27" t="s">
        <v>282</v>
      </c>
      <c r="G14" s="27" t="s">
        <v>56</v>
      </c>
      <c r="H14" s="45" t="s">
        <v>12</v>
      </c>
    </row>
    <row r="15">
      <c r="A15" s="29" t="s">
        <v>283</v>
      </c>
      <c r="B15" s="30">
        <v>46001.0</v>
      </c>
      <c r="C15" s="31" t="s">
        <v>230</v>
      </c>
      <c r="D15" s="31" t="s">
        <v>97</v>
      </c>
      <c r="E15" s="31" t="s">
        <v>284</v>
      </c>
      <c r="F15" s="31" t="s">
        <v>285</v>
      </c>
      <c r="G15" s="31" t="s">
        <v>51</v>
      </c>
      <c r="H15" s="49" t="s">
        <v>5</v>
      </c>
    </row>
    <row r="16">
      <c r="A16" s="25" t="s">
        <v>286</v>
      </c>
      <c r="B16" s="26">
        <v>46028.0</v>
      </c>
      <c r="C16" s="27" t="s">
        <v>232</v>
      </c>
      <c r="D16" s="27" t="s">
        <v>101</v>
      </c>
      <c r="E16" s="27" t="s">
        <v>287</v>
      </c>
      <c r="F16" s="27" t="s">
        <v>288</v>
      </c>
      <c r="G16" s="27" t="s">
        <v>252</v>
      </c>
      <c r="H16" s="45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6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8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29"/>
    <col customWidth="1" min="3" max="4" width="12.0"/>
    <col customWidth="1" min="5" max="5" width="65.0"/>
    <col customWidth="1" min="6" max="6" width="40.0"/>
    <col customWidth="1" min="7" max="7" width="22.0"/>
    <col customWidth="1" min="8" max="26" width="8.71"/>
  </cols>
  <sheetData>
    <row r="1">
      <c r="A1" s="50" t="s">
        <v>289</v>
      </c>
      <c r="B1" s="50" t="s">
        <v>34</v>
      </c>
      <c r="C1" s="50" t="s">
        <v>239</v>
      </c>
      <c r="D1" s="50" t="s">
        <v>33</v>
      </c>
      <c r="E1" s="50" t="s">
        <v>290</v>
      </c>
      <c r="F1" s="50" t="s">
        <v>148</v>
      </c>
      <c r="G1" s="50" t="s">
        <v>291</v>
      </c>
    </row>
    <row r="2">
      <c r="A2" s="25" t="s">
        <v>292</v>
      </c>
      <c r="B2" s="26">
        <v>46045.0</v>
      </c>
      <c r="C2" s="27" t="s">
        <v>243</v>
      </c>
      <c r="D2" s="27" t="s">
        <v>40</v>
      </c>
      <c r="E2" s="27" t="s">
        <v>293</v>
      </c>
      <c r="F2" s="27" t="s">
        <v>294</v>
      </c>
      <c r="G2" s="27" t="s">
        <v>41</v>
      </c>
    </row>
    <row r="3">
      <c r="A3" s="29" t="s">
        <v>295</v>
      </c>
      <c r="B3" s="30">
        <v>46068.0</v>
      </c>
      <c r="C3" s="31" t="s">
        <v>246</v>
      </c>
      <c r="D3" s="31" t="s">
        <v>45</v>
      </c>
      <c r="E3" s="31" t="s">
        <v>296</v>
      </c>
      <c r="F3" s="31" t="s">
        <v>297</v>
      </c>
      <c r="G3" s="31" t="s">
        <v>51</v>
      </c>
    </row>
    <row r="4">
      <c r="A4" s="25" t="s">
        <v>298</v>
      </c>
      <c r="B4" s="26">
        <v>46049.0</v>
      </c>
      <c r="C4" s="27" t="s">
        <v>249</v>
      </c>
      <c r="D4" s="27" t="s">
        <v>50</v>
      </c>
      <c r="E4" s="27" t="s">
        <v>299</v>
      </c>
      <c r="F4" s="27" t="s">
        <v>300</v>
      </c>
      <c r="G4" s="27" t="s">
        <v>46</v>
      </c>
    </row>
    <row r="5">
      <c r="A5" s="29" t="s">
        <v>301</v>
      </c>
      <c r="B5" s="30">
        <v>46007.0</v>
      </c>
      <c r="C5" s="31" t="s">
        <v>253</v>
      </c>
      <c r="D5" s="31" t="s">
        <v>55</v>
      </c>
      <c r="E5" s="31" t="s">
        <v>302</v>
      </c>
      <c r="F5" s="31" t="s">
        <v>303</v>
      </c>
      <c r="G5" s="31" t="s">
        <v>46</v>
      </c>
    </row>
    <row r="6">
      <c r="A6" s="25" t="s">
        <v>304</v>
      </c>
      <c r="B6" s="26">
        <v>46079.0</v>
      </c>
      <c r="C6" s="27" t="s">
        <v>256</v>
      </c>
      <c r="D6" s="27" t="s">
        <v>60</v>
      </c>
      <c r="E6" s="27" t="s">
        <v>305</v>
      </c>
      <c r="F6" s="27" t="s">
        <v>306</v>
      </c>
      <c r="G6" s="27" t="s">
        <v>46</v>
      </c>
    </row>
    <row r="7">
      <c r="A7" s="29" t="s">
        <v>307</v>
      </c>
      <c r="B7" s="30">
        <v>46000.0</v>
      </c>
      <c r="C7" s="31" t="s">
        <v>259</v>
      </c>
      <c r="D7" s="31" t="s">
        <v>65</v>
      </c>
      <c r="E7" s="31" t="s">
        <v>308</v>
      </c>
      <c r="F7" s="31" t="s">
        <v>309</v>
      </c>
      <c r="G7" s="31" t="s">
        <v>204</v>
      </c>
    </row>
    <row r="8">
      <c r="A8" s="25" t="s">
        <v>310</v>
      </c>
      <c r="B8" s="26">
        <v>45988.0</v>
      </c>
      <c r="C8" s="27" t="s">
        <v>262</v>
      </c>
      <c r="D8" s="27" t="s">
        <v>69</v>
      </c>
      <c r="E8" s="27" t="s">
        <v>311</v>
      </c>
      <c r="F8" s="27" t="s">
        <v>312</v>
      </c>
      <c r="G8" s="27" t="s">
        <v>46</v>
      </c>
    </row>
    <row r="9">
      <c r="A9" s="29" t="s">
        <v>313</v>
      </c>
      <c r="B9" s="30">
        <v>46021.0</v>
      </c>
      <c r="C9" s="31" t="s">
        <v>265</v>
      </c>
      <c r="D9" s="31" t="s">
        <v>73</v>
      </c>
      <c r="E9" s="31" t="s">
        <v>314</v>
      </c>
      <c r="F9" s="31" t="s">
        <v>315</v>
      </c>
      <c r="G9" s="31" t="s">
        <v>46</v>
      </c>
    </row>
    <row r="10">
      <c r="A10" s="25" t="s">
        <v>316</v>
      </c>
      <c r="B10" s="26">
        <v>46028.0</v>
      </c>
      <c r="C10" s="27" t="s">
        <v>268</v>
      </c>
      <c r="D10" s="27" t="s">
        <v>77</v>
      </c>
      <c r="E10" s="27" t="s">
        <v>317</v>
      </c>
      <c r="F10" s="27" t="s">
        <v>318</v>
      </c>
      <c r="G10" s="27" t="s">
        <v>46</v>
      </c>
    </row>
    <row r="11">
      <c r="A11" s="29" t="s">
        <v>319</v>
      </c>
      <c r="B11" s="30">
        <v>46069.0</v>
      </c>
      <c r="C11" s="31" t="s">
        <v>271</v>
      </c>
      <c r="D11" s="31" t="s">
        <v>81</v>
      </c>
      <c r="E11" s="31" t="s">
        <v>320</v>
      </c>
      <c r="F11" s="31" t="s">
        <v>321</v>
      </c>
      <c r="G11" s="31" t="s">
        <v>204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2026-03-12T01:57:15Z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