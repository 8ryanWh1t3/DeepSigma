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laims" sheetId="2" state="visible" r:id="rId4"/>
    <sheet name="Events" sheetId="3" state="visible" r:id="rId5"/>
    <sheet name="Reviews" sheetId="4" state="visible" r:id="rId6"/>
    <sheet name="Patches" sheetId="5" state="visible" r:id="rId7"/>
    <sheet name="Apply" sheetId="6" state="visible" r:id="rId8"/>
  </sheets>
  <definedNames>
    <definedName function="false" hidden="true" localSheetId="5" name="_xlnm._FilterDatabase" vbProcedure="false">Apply!$A$1:$I$11</definedName>
    <definedName function="false" hidden="true" localSheetId="1" name="_xlnm._FilterDatabase" vbProcedure="false">Claims!$A$1:$H$31</definedName>
    <definedName function="false" hidden="true" localSheetId="2" name="_xlnm._FilterDatabase" vbProcedure="false">Events!$A$1:$I$26</definedName>
    <definedName function="false" hidden="true" localSheetId="4" name="_xlnm._FilterDatabase" vbProcedure="false">Patches!$A$1:$J$16</definedName>
    <definedName function="false" hidden="true" localSheetId="3" name="_xlnm._FilterDatabase" vbProcedure="false">Reviews!$A$1:$J$21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<sst xmlns="http://schemas.openxmlformats.org/spreadsheetml/2006/main" count="735" uniqueCount="366">
  <si>
    <t xml:space="preserve">CERPA WORKBOOK — OPERATIONAL DASHBOARD</t>
  </si>
  <si>
    <t xml:space="preserve">Total Claims</t>
  </si>
  <si>
    <t xml:space="preserve">Total Events</t>
  </si>
  <si>
    <t xml:space="preserve">Total Reviews</t>
  </si>
  <si>
    <t xml:space="preserve">Total Patches</t>
  </si>
  <si>
    <t xml:space="preserve">Applied</t>
  </si>
  <si>
    <t xml:space="preserve">DRIFT &amp; DEVIATION</t>
  </si>
  <si>
    <t xml:space="preserve">PATCH STATUS</t>
  </si>
  <si>
    <t xml:space="preserve">SEVERITY</t>
  </si>
  <si>
    <t xml:space="preserve">CLAIM STATUS</t>
  </si>
  <si>
    <t xml:space="preserve">Drift Y</t>
  </si>
  <si>
    <t xml:space="preserve">Critical</t>
  </si>
  <si>
    <t xml:space="preserve">Open</t>
  </si>
  <si>
    <t xml:space="preserve">Drift N</t>
  </si>
  <si>
    <t xml:space="preserve">Approved</t>
  </si>
  <si>
    <t xml:space="preserve">High</t>
  </si>
  <si>
    <t xml:space="preserve">Under Review</t>
  </si>
  <si>
    <t xml:space="preserve">Drift Rate</t>
  </si>
  <si>
    <t xml:space="preserve">Pending</t>
  </si>
  <si>
    <t xml:space="preserve">Medium</t>
  </si>
  <si>
    <t xml:space="preserve">Patched</t>
  </si>
  <si>
    <t xml:space="preserve">Events Deviated</t>
  </si>
  <si>
    <t xml:space="preserve">Low</t>
  </si>
  <si>
    <t xml:space="preserve">Closed</t>
  </si>
  <si>
    <t xml:space="preserve">Events OK</t>
  </si>
  <si>
    <t xml:space="preserve">Deviation Rate</t>
  </si>
  <si>
    <t xml:space="preserve">CYCLE TIME METRICS</t>
  </si>
  <si>
    <t xml:space="preserve">Avg Event→Review</t>
  </si>
  <si>
    <t xml:space="preserve">Avg Review→Patch</t>
  </si>
  <si>
    <t xml:space="preserve">Avg Patch→Apply</t>
  </si>
  <si>
    <t xml:space="preserve">Max Event→Review</t>
  </si>
  <si>
    <t xml:space="preserve">Max Review→Patch</t>
  </si>
  <si>
    <t xml:space="preserve">Max Patch→Apply</t>
  </si>
  <si>
    <t xml:space="preserve">COVERAGE RATIOS</t>
  </si>
  <si>
    <t xml:space="preserve">Event Coverage</t>
  </si>
  <si>
    <t xml:space="preserve">Claims with Events</t>
  </si>
  <si>
    <t xml:space="preserve">Review Coverage</t>
  </si>
  <si>
    <t xml:space="preserve">Events reviewed</t>
  </si>
  <si>
    <t xml:space="preserve">Patch Rate</t>
  </si>
  <si>
    <t xml:space="preserve">Reviews patched</t>
  </si>
  <si>
    <t xml:space="preserve">Closure Rate</t>
  </si>
  <si>
    <t xml:space="preserve">Patches applied</t>
  </si>
  <si>
    <t xml:space="preserve">Full Loop</t>
  </si>
  <si>
    <t xml:space="preserve">Claims→Apply</t>
  </si>
  <si>
    <t xml:space="preserve">AGING ANALYSIS</t>
  </si>
  <si>
    <t xml:space="preserve">Claims Open &gt;30 days</t>
  </si>
  <si>
    <t xml:space="preserve">Claims Open 14-30 days</t>
  </si>
  <si>
    <t xml:space="preserve">Drift Reviews &gt;14d old</t>
  </si>
  <si>
    <t xml:space="preserve">Pending Patches</t>
  </si>
  <si>
    <t xml:space="preserve">HOW TO USE</t>
  </si>
  <si>
    <t xml:space="preserve">1. CLAIMS: Register decisions. Days Open auto-calculates. Red &gt;30d, Yellow &gt;14d.</t>
  </si>
  <si>
    <t xml:space="preserve">2. EVENTS: Select ClaimID from dropdown. Description + Source auto-pull from Claims.</t>
  </si>
  <si>
    <t xml:space="preserve">3. REVIEWS: Select ClaimID + EventID from dropdowns. Days Since Event auto-calculates.</t>
  </si>
  <si>
    <t xml:space="preserve">4. PATCHES: Select ReviewID + ClaimID. Finding auto-pulls. Days to Patch auto-calculates.</t>
  </si>
  <si>
    <t xml:space="preserve">5. APPLY: Select PatchID + ClaimID. Correction auto-pulls. Days to Apply auto-calculates.</t>
  </si>
  <si>
    <t xml:space="preserve">6. AUDIT: Filter any tab by ClaimID → export to PDF = evidence package.</t>
  </si>
  <si>
    <t xml:space="preserve">7. OVERDUE: Red flags auto-appear: Claims &gt;30d, Drift &gt;14d, Pending Patches &gt;7d.</t>
  </si>
  <si>
    <t xml:space="preserve">8. UPGRADE: When you outgrow Excel → SharePoint List → Power Apps → GRC. Every row migrates.</t>
  </si>
  <si>
    <t xml:space="preserve">ClaimID</t>
  </si>
  <si>
    <t xml:space="preserve">Date</t>
  </si>
  <si>
    <t xml:space="preserve">Owner</t>
  </si>
  <si>
    <t xml:space="preserve">Description</t>
  </si>
  <si>
    <t xml:space="preserve">Source</t>
  </si>
  <si>
    <t xml:space="preserve">Status</t>
  </si>
  <si>
    <t xml:space="preserve">LinkedEventIDs</t>
  </si>
  <si>
    <t xml:space="preserve">Days Open</t>
  </si>
  <si>
    <t xml:space="preserve">CLM-001</t>
  </si>
  <si>
    <t xml:space="preserve">MAJ Torres (COR)</t>
  </si>
  <si>
    <t xml:space="preserve">Contractor shall deliver monthly status report by 5th business day</t>
  </si>
  <si>
    <t xml:space="preserve">SOW 3.1</t>
  </si>
  <si>
    <t xml:space="preserve">EVT-001</t>
  </si>
  <si>
    <t xml:space="preserve">CLM-002</t>
  </si>
  <si>
    <t xml:space="preserve">CPT Chen (ACOR)</t>
  </si>
  <si>
    <t xml:space="preserve">All software deliverables shall pass security scan before acceptance</t>
  </si>
  <si>
    <t xml:space="preserve">SOW 3.2</t>
  </si>
  <si>
    <t xml:space="preserve">EVT-002</t>
  </si>
  <si>
    <t xml:space="preserve">CLM-003</t>
  </si>
  <si>
    <t xml:space="preserve">Mr. Davis (KO)</t>
  </si>
  <si>
    <t xml:space="preserve">Contractor shall maintain 98% system uptime during core hours</t>
  </si>
  <si>
    <t xml:space="preserve">SOW 4.1</t>
  </si>
  <si>
    <t xml:space="preserve">EVT-003</t>
  </si>
  <si>
    <t xml:space="preserve">CLM-004</t>
  </si>
  <si>
    <t xml:space="preserve">Ms. Patel (PM)</t>
  </si>
  <si>
    <t xml:space="preserve">Weekly staffing report due every Monday by 1200</t>
  </si>
  <si>
    <t xml:space="preserve">SOW 5.3</t>
  </si>
  <si>
    <t xml:space="preserve">EVT-004</t>
  </si>
  <si>
    <t xml:space="preserve">CLM-005</t>
  </si>
  <si>
    <t xml:space="preserve">SSG Miller (QA)</t>
  </si>
  <si>
    <t xml:space="preserve">All personnel shall hold current security clearance at TS/SCI</t>
  </si>
  <si>
    <t xml:space="preserve">CDRL A001</t>
  </si>
  <si>
    <t xml:space="preserve">EVT-005</t>
  </si>
  <si>
    <t xml:space="preserve">CLM-006</t>
  </si>
  <si>
    <t xml:space="preserve">Help desk response time shall not exceed 15 minutes</t>
  </si>
  <si>
    <t xml:space="preserve">CDRL A003</t>
  </si>
  <si>
    <t xml:space="preserve">EVT-006</t>
  </si>
  <si>
    <t xml:space="preserve">CLM-007</t>
  </si>
  <si>
    <t xml:space="preserve">Quarterly program review briefing by 10th of quarter</t>
  </si>
  <si>
    <t xml:space="preserve">CDRL A005</t>
  </si>
  <si>
    <t xml:space="preserve">EVT-007</t>
  </si>
  <si>
    <t xml:space="preserve">CLM-008</t>
  </si>
  <si>
    <t xml:space="preserve">All code commits shall include unit test coverage above 80%</t>
  </si>
  <si>
    <t xml:space="preserve">PWS 3.2.1</t>
  </si>
  <si>
    <t xml:space="preserve">EVT-008</t>
  </si>
  <si>
    <t xml:space="preserve">CLM-009</t>
  </si>
  <si>
    <t xml:space="preserve">Contractor shall provide 24/7 on-call support for critical systems</t>
  </si>
  <si>
    <t xml:space="preserve">PWS 4.1.3</t>
  </si>
  <si>
    <t xml:space="preserve">EVT-009</t>
  </si>
  <si>
    <t xml:space="preserve">CLM-010</t>
  </si>
  <si>
    <t xml:space="preserve">Data backup completed nightly with verification log weekly</t>
  </si>
  <si>
    <t xml:space="preserve">QASP 2</t>
  </si>
  <si>
    <t xml:space="preserve">EVT-010</t>
  </si>
  <si>
    <t xml:space="preserve">CLM-011</t>
  </si>
  <si>
    <t xml:space="preserve">Network monitoring dashboard updated real-time 5-min refresh</t>
  </si>
  <si>
    <t xml:space="preserve">QASP 4</t>
  </si>
  <si>
    <t xml:space="preserve">EVT-011</t>
  </si>
  <si>
    <t xml:space="preserve">CLM-012</t>
  </si>
  <si>
    <t xml:space="preserve">Incident response initiated within 30 minutes of detection</t>
  </si>
  <si>
    <t xml:space="preserve">TO Mod 001</t>
  </si>
  <si>
    <t xml:space="preserve">EVT-012</t>
  </si>
  <si>
    <t xml:space="preserve">CLM-013</t>
  </si>
  <si>
    <t xml:space="preserve">All documentation per DI-MGMT-81466</t>
  </si>
  <si>
    <t xml:space="preserve">TO Mod 003</t>
  </si>
  <si>
    <t xml:space="preserve">EVT-013</t>
  </si>
  <si>
    <t xml:space="preserve">CLM-014</t>
  </si>
  <si>
    <t xml:space="preserve">Training materials updated within 30 days of system change</t>
  </si>
  <si>
    <t xml:space="preserve">Policy 24-01</t>
  </si>
  <si>
    <t xml:space="preserve">EVT-014</t>
  </si>
  <si>
    <t xml:space="preserve">CLM-015</t>
  </si>
  <si>
    <t xml:space="preserve">Transition plan delivered 90 days before PoP end</t>
  </si>
  <si>
    <t xml:space="preserve">COR Dir 25-001</t>
  </si>
  <si>
    <t xml:space="preserve">EVT-015</t>
  </si>
  <si>
    <t xml:space="preserve">CLM-016</t>
  </si>
  <si>
    <t xml:space="preserve">Comply with NIST 800-171 requirements</t>
  </si>
  <si>
    <t xml:space="preserve">EVT-016</t>
  </si>
  <si>
    <t xml:space="preserve">CLM-017</t>
  </si>
  <si>
    <t xml:space="preserve">Configuration management plan maintained and current</t>
  </si>
  <si>
    <t xml:space="preserve">EVT-017</t>
  </si>
  <si>
    <t xml:space="preserve">CLM-018</t>
  </si>
  <si>
    <t xml:space="preserve">System patches applied within 72 hours for critical CVEs</t>
  </si>
  <si>
    <t xml:space="preserve">EVT-018</t>
  </si>
  <si>
    <t xml:space="preserve">CLM-019</t>
  </si>
  <si>
    <t xml:space="preserve">All travel requires prior written COR approval</t>
  </si>
  <si>
    <t xml:space="preserve">EVT-019</t>
  </si>
  <si>
    <t xml:space="preserve">CLM-020</t>
  </si>
  <si>
    <t xml:space="preserve">Monthly financial report with cost/burn-rate by 10th</t>
  </si>
  <si>
    <t xml:space="preserve">EVT-020</t>
  </si>
  <si>
    <t xml:space="preserve">CLM-021</t>
  </si>
  <si>
    <t xml:space="preserve">Risk register maintained and reviewed at each program review</t>
  </si>
  <si>
    <t xml:space="preserve">EVT-021</t>
  </si>
  <si>
    <t xml:space="preserve">CLM-022</t>
  </si>
  <si>
    <t xml:space="preserve">Key personnel changes require 30-day advance notice</t>
  </si>
  <si>
    <t xml:space="preserve">EVT-022</t>
  </si>
  <si>
    <t xml:space="preserve">CLM-023</t>
  </si>
  <si>
    <t xml:space="preserve">All GFE tracked in property log</t>
  </si>
  <si>
    <t xml:space="preserve">EVT-023</t>
  </si>
  <si>
    <t xml:space="preserve">CLM-024</t>
  </si>
  <si>
    <t xml:space="preserve">Test plan approved before system testing begins</t>
  </si>
  <si>
    <t xml:space="preserve">EVT-024</t>
  </si>
  <si>
    <t xml:space="preserve">CLM-025</t>
  </si>
  <si>
    <t xml:space="preserve">Final delivery acceptance within 10 business days</t>
  </si>
  <si>
    <t xml:space="preserve">EVT-025</t>
  </si>
  <si>
    <t xml:space="preserve">CLM-026</t>
  </si>
  <si>
    <t xml:space="preserve">Maintain ISO 27001 certification throughout PoP</t>
  </si>
  <si>
    <t xml:space="preserve">CLM-027</t>
  </si>
  <si>
    <t xml:space="preserve">Sub-contractor performance reported quarterly</t>
  </si>
  <si>
    <t xml:space="preserve">CLM-028</t>
  </si>
  <si>
    <t xml:space="preserve">EVM reports delivered monthly per CDRL</t>
  </si>
  <si>
    <t xml:space="preserve">CLM-029</t>
  </si>
  <si>
    <t xml:space="preserve">Access control logs reviewed weekly</t>
  </si>
  <si>
    <t xml:space="preserve">CLM-030</t>
  </si>
  <si>
    <t xml:space="preserve">Lessons learned report within 30 days of milestone</t>
  </si>
  <si>
    <t xml:space="preserve">EventID</t>
  </si>
  <si>
    <t xml:space="preserve">Observer</t>
  </si>
  <si>
    <t xml:space="preserve">What Happened</t>
  </si>
  <si>
    <t xml:space="preserve">Evidence</t>
  </si>
  <si>
    <t xml:space="preserve">Deviation</t>
  </si>
  <si>
    <t xml:space="preserve">⬅ Claim Desc (auto)</t>
  </si>
  <si>
    <t xml:space="preserve">⬅ Source (auto)</t>
  </si>
  <si>
    <t xml:space="preserve">March status report delivered 12th business day — 7 days late</t>
  </si>
  <si>
    <t xml:space="preserve">\\fileserver\TO-Evidence\EVT-001.pdf</t>
  </si>
  <si>
    <t xml:space="preserve">Y</t>
  </si>
  <si>
    <t xml:space="preserve">Security scan: 3 critical findings identified</t>
  </si>
  <si>
    <t xml:space="preserve">\\fileserver\TO-Evidence\EVT-002.pdf</t>
  </si>
  <si>
    <t xml:space="preserve">N</t>
  </si>
  <si>
    <t xml:space="preserve">System uptime 94.2% February — below 98%</t>
  </si>
  <si>
    <t xml:space="preserve">\\fileserver\TO-Evidence\EVT-003.pdf</t>
  </si>
  <si>
    <t xml:space="preserve">Staffing report received Monday 1430 — 2.5 hrs late</t>
  </si>
  <si>
    <t xml:space="preserve">\\fileserver\TO-Evidence\EVT-004.pdf</t>
  </si>
  <si>
    <t xml:space="preserve">Personnel audit: 2 of 14 have expired interim clearances</t>
  </si>
  <si>
    <t xml:space="preserve">\\fileserver\TO-Evidence\EVT-005.pdf</t>
  </si>
  <si>
    <t xml:space="preserve">Help desk avg response: 22 min — exceeds 15-min SLA</t>
  </si>
  <si>
    <t xml:space="preserve">\\fileserver\TO-Evidence\EVT-006.pdf</t>
  </si>
  <si>
    <t xml:space="preserve">Q1 review delivered on time; content reviewed</t>
  </si>
  <si>
    <t xml:space="preserve">\\fileserver\TO-Evidence\EVT-007.pdf</t>
  </si>
  <si>
    <t xml:space="preserve">Code coverage 71% on Sprint 14 deliverable</t>
  </si>
  <si>
    <t xml:space="preserve">\\fileserver\TO-Evidence\EVT-008.pdf</t>
  </si>
  <si>
    <t xml:space="preserve">On-call tech unreachable 45 min during Sev 1</t>
  </si>
  <si>
    <t xml:space="preserve">\\fileserver\TO-Evidence\EVT-009.pdf</t>
  </si>
  <si>
    <t xml:space="preserve">Backup log: 3 failed backups week of 3/15</t>
  </si>
  <si>
    <t xml:space="preserve">\\fileserver\TO-Evidence\EVT-010.pdf</t>
  </si>
  <si>
    <t xml:space="preserve">Dashboard 15-min gap during maintenance</t>
  </si>
  <si>
    <t xml:space="preserve">\\fileserver\TO-Evidence\EVT-011.pdf</t>
  </si>
  <si>
    <t xml:space="preserve">Incident response: 47 min for P1 outage 3/22</t>
  </si>
  <si>
    <t xml:space="preserve">\\fileserver\TO-Evidence\EVT-012.pdf</t>
  </si>
  <si>
    <t xml:space="preserve">Documentation does not conform to DI-MGMT-81466</t>
  </si>
  <si>
    <t xml:space="preserve">\\fileserver\TO-Evidence\EVT-013.pdf</t>
  </si>
  <si>
    <t xml:space="preserve">Training materials reference deprecated v2.1</t>
  </si>
  <si>
    <t xml:space="preserve">\\fileserver\TO-Evidence\EVT-014.pdf</t>
  </si>
  <si>
    <t xml:space="preserve">Transition plan submitted day 85 — 5 days late</t>
  </si>
  <si>
    <t xml:space="preserve">\\fileserver\TO-Evidence\EVT-015.pdf</t>
  </si>
  <si>
    <t xml:space="preserve">NIST 800-171 self-assessment: 87/110 — 3 POAMs open</t>
  </si>
  <si>
    <t xml:space="preserve">\\fileserver\TO-Evidence\EVT-016.pdf</t>
  </si>
  <si>
    <t xml:space="preserve">CM plan last updated 6 months ago — outdated</t>
  </si>
  <si>
    <t xml:space="preserve">\\fileserver\TO-Evidence\EVT-017.pdf</t>
  </si>
  <si>
    <t xml:space="preserve">Critical CVE patches applied 96 hrs — 24 hrs over</t>
  </si>
  <si>
    <t xml:space="preserve">\\fileserver\TO-Evidence\EVT-018.pdf</t>
  </si>
  <si>
    <t xml:space="preserve">Travel without prior COR written approval</t>
  </si>
  <si>
    <t xml:space="preserve">\\fileserver\TO-Evidence\EVT-019.pdf</t>
  </si>
  <si>
    <t xml:space="preserve">Financial report delivered 15th — 5 days late</t>
  </si>
  <si>
    <t xml:space="preserve">\\fileserver\TO-Evidence\EVT-020.pdf</t>
  </si>
  <si>
    <t xml:space="preserve">Risk register not updated 2 consecutive reviews</t>
  </si>
  <si>
    <t xml:space="preserve">\\fileserver\TO-Evidence\EVT-021.pdf</t>
  </si>
  <si>
    <t xml:space="preserve">Key personnel departure: 5 days notice (req: 30)</t>
  </si>
  <si>
    <t xml:space="preserve">\\fileserver\TO-Evidence\EVT-022.pdf</t>
  </si>
  <si>
    <t xml:space="preserve">GFE laptop #47 missing from log 3 months</t>
  </si>
  <si>
    <t xml:space="preserve">\\fileserver\TO-Evidence\EVT-023.pdf</t>
  </si>
  <si>
    <t xml:space="preserve">Test plan submitted but not approved before testing</t>
  </si>
  <si>
    <t xml:space="preserve">\\fileserver\TO-Evidence\EVT-024.pdf</t>
  </si>
  <si>
    <t xml:space="preserve">Deliverable acceptance took 18 business days (req: 10)</t>
  </si>
  <si>
    <t xml:space="preserve">\\fileserver\TO-Evidence\EVT-025.pdf</t>
  </si>
  <si>
    <t xml:space="preserve">ReviewID</t>
  </si>
  <si>
    <t xml:space="preserve">Finding</t>
  </si>
  <si>
    <t xml:space="preserve">Drift</t>
  </si>
  <si>
    <t xml:space="preserve">Severity</t>
  </si>
  <si>
    <t xml:space="preserve">Reviewer</t>
  </si>
  <si>
    <t xml:space="preserve">Days Since Event</t>
  </si>
  <si>
    <t xml:space="preserve">⬅ Claim (auto)</t>
  </si>
  <si>
    <t xml:space="preserve">REV-001</t>
  </si>
  <si>
    <t xml:space="preserve">Drift confirmed: 3 of 4 reports late. Pattern.</t>
  </si>
  <si>
    <t xml:space="preserve">Mr. Jackson (QA)</t>
  </si>
  <si>
    <t xml:space="preserve">REV-002</t>
  </si>
  <si>
    <t xml:space="preserve">Security findings Critical. Cannot accept deliverable.</t>
  </si>
  <si>
    <t xml:space="preserve">REV-003</t>
  </si>
  <si>
    <t xml:space="preserve">Uptime below threshold 2 consecutive months. Systemic.</t>
  </si>
  <si>
    <t xml:space="preserve">Ms. Kim (Audit)</t>
  </si>
  <si>
    <t xml:space="preserve">REV-004</t>
  </si>
  <si>
    <t xml:space="preserve">Minor deviation. Verbal counseling. Monitor 4 weeks.</t>
  </si>
  <si>
    <t xml:space="preserve">REV-005</t>
  </si>
  <si>
    <t xml:space="preserve">Clearance gap: immediate risk. Cannot access SCIF.</t>
  </si>
  <si>
    <t xml:space="preserve">REV-006</t>
  </si>
  <si>
    <t xml:space="preserve">SLA breach: 5 of 8 weeks exceeded. Not isolated.</t>
  </si>
  <si>
    <t xml:space="preserve">REV-007</t>
  </si>
  <si>
    <t xml:space="preserve">Content adequate. Delivery format needs improvement.</t>
  </si>
  <si>
    <t xml:space="preserve">REV-008</t>
  </si>
  <si>
    <t xml:space="preserve">Coverage deficit is quality risk. Cannot accept.</t>
  </si>
  <si>
    <t xml:space="preserve">REV-009</t>
  </si>
  <si>
    <t xml:space="preserve">On-call failure during Sev 1: critical performance issue.</t>
  </si>
  <si>
    <t xml:space="preserve">REV-010</t>
  </si>
  <si>
    <t xml:space="preserve">Backup failures: data loss risk. Corrective action required.</t>
  </si>
  <si>
    <t xml:space="preserve">REV-011</t>
  </si>
  <si>
    <t xml:space="preserve">Dashboard gap acceptable during maintenance.</t>
  </si>
  <si>
    <t xml:space="preserve">REV-012</t>
  </si>
  <si>
    <t xml:space="preserve">Response time failure: critical. Playbook not followed.</t>
  </si>
  <si>
    <t xml:space="preserve">REV-013</t>
  </si>
  <si>
    <t xml:space="preserve">Format non-conformance correctable. Issue COR direction.</t>
  </si>
  <si>
    <t xml:space="preserve">REV-014</t>
  </si>
  <si>
    <t xml:space="preserve">Outdated training: operational risk. Immediate update.</t>
  </si>
  <si>
    <t xml:space="preserve">REV-015</t>
  </si>
  <si>
    <t xml:space="preserve">Late delivery within tolerance. Issue verbal notice.</t>
  </si>
  <si>
    <t xml:space="preserve">REV-016</t>
  </si>
  <si>
    <t xml:space="preserve">NIST compliance gap requires formal remediation plan.</t>
  </si>
  <si>
    <t xml:space="preserve">REV-017</t>
  </si>
  <si>
    <t xml:space="preserve">Outdated CM plan creates configuration drift risk.</t>
  </si>
  <si>
    <t xml:space="preserve">REV-018</t>
  </si>
  <si>
    <t xml:space="preserve">Patch delay borderline. Monitor; escalate if repeated.</t>
  </si>
  <si>
    <t xml:space="preserve">REV-019</t>
  </si>
  <si>
    <t xml:space="preserve">Unauthorized travel: contract compliance violation.</t>
  </si>
  <si>
    <t xml:space="preserve">REV-020</t>
  </si>
  <si>
    <t xml:space="preserve">Late financial report impacts visibility. Escalate.</t>
  </si>
  <si>
    <t xml:space="preserve">PatchID</t>
  </si>
  <si>
    <t xml:space="preserve">Correction</t>
  </si>
  <si>
    <t xml:space="preserve">Rationale</t>
  </si>
  <si>
    <t xml:space="preserve">Approver</t>
  </si>
  <si>
    <t xml:space="preserve">Days to Patch</t>
  </si>
  <si>
    <t xml:space="preserve">⬅ Finding (auto)</t>
  </si>
  <si>
    <t xml:space="preserve">PAT-001</t>
  </si>
  <si>
    <t xml:space="preserve">COR letter: contractor submit CAP by April 15</t>
  </si>
  <si>
    <t xml:space="preserve">Review REV-001 identified drift.</t>
  </si>
  <si>
    <t xml:space="preserve">PAT-002</t>
  </si>
  <si>
    <t xml:space="preserve">Deliverable returned. Remediate 3 Critical, resubmit.</t>
  </si>
  <si>
    <t xml:space="preserve">Review REV-002 identified drift.</t>
  </si>
  <si>
    <t xml:space="preserve">PAT-003</t>
  </si>
  <si>
    <t xml:space="preserve">PIP required within 14 days. Monitor 2 months.</t>
  </si>
  <si>
    <t xml:space="preserve">Review REV-003 identified drift.</t>
  </si>
  <si>
    <t xml:space="preserve">COL Richardson (DPM)</t>
  </si>
  <si>
    <t xml:space="preserve">PAT-004</t>
  </si>
  <si>
    <t xml:space="preserve">Verbal counseling documented. No formal action.</t>
  </si>
  <si>
    <t xml:space="preserve">Review REV-004 identified drift.</t>
  </si>
  <si>
    <t xml:space="preserve">PAT-005</t>
  </si>
  <si>
    <t xml:space="preserve">Resolve clearance gaps 10 days or replace personnel.</t>
  </si>
  <si>
    <t xml:space="preserve">Review REV-005 identified drift.</t>
  </si>
  <si>
    <t xml:space="preserve">PAT-006</t>
  </si>
  <si>
    <t xml:space="preserve">Cure notice drafted. 10-day cure period.</t>
  </si>
  <si>
    <t xml:space="preserve">Review REV-006 identified drift.</t>
  </si>
  <si>
    <t xml:space="preserve">PAT-007</t>
  </si>
  <si>
    <t xml:space="preserve">COR direction: reformat per DI-MGMT-81466.</t>
  </si>
  <si>
    <t xml:space="preserve">Review REV-007 identified drift.</t>
  </si>
  <si>
    <t xml:space="preserve">PAT-008</t>
  </si>
  <si>
    <t xml:space="preserve">Sprint 15 must show &gt;80% coverage or reject.</t>
  </si>
  <si>
    <t xml:space="preserve">Review REV-008 identified drift.</t>
  </si>
  <si>
    <t xml:space="preserve">PAT-009</t>
  </si>
  <si>
    <t xml:space="preserve">Revise on-call procedures. Updated roster 7 days.</t>
  </si>
  <si>
    <t xml:space="preserve">Review REV-009 identified drift.</t>
  </si>
  <si>
    <t xml:space="preserve">PAT-010</t>
  </si>
  <si>
    <t xml:space="preserve">Implement auto backup verification. Daily report 30 days.</t>
  </si>
  <si>
    <t xml:space="preserve">Review REV-010 identified drift.</t>
  </si>
  <si>
    <t xml:space="preserve">PAT-011</t>
  </si>
  <si>
    <t xml:space="preserve">No action required. Gap within maintenance window.</t>
  </si>
  <si>
    <t xml:space="preserve">Review REV-011 identified drift.</t>
  </si>
  <si>
    <t xml:space="preserve">PAT-012</t>
  </si>
  <si>
    <t xml:space="preserve">Conduct incident response drill within 14 days.</t>
  </si>
  <si>
    <t xml:space="preserve">Review REV-012 identified drift.</t>
  </si>
  <si>
    <t xml:space="preserve">PAT-013</t>
  </si>
  <si>
    <t xml:space="preserve">Update all documentation to current template 30 days.</t>
  </si>
  <si>
    <t xml:space="preserve">Review REV-013 identified drift.</t>
  </si>
  <si>
    <t xml:space="preserve">PAT-014</t>
  </si>
  <si>
    <t xml:space="preserve">Update training materials to v3.0 within 21 days.</t>
  </si>
  <si>
    <t xml:space="preserve">Review REV-014 identified drift.</t>
  </si>
  <si>
    <t xml:space="preserve">PAT-015</t>
  </si>
  <si>
    <t xml:space="preserve">Written notice. Next late triggers cure notice.</t>
  </si>
  <si>
    <t xml:space="preserve">Review REV-015 identified drift.</t>
  </si>
  <si>
    <t xml:space="preserve">ApplyID</t>
  </si>
  <si>
    <t xml:space="preserve">Action Taken</t>
  </si>
  <si>
    <t xml:space="preserve">Verified By</t>
  </si>
  <si>
    <t xml:space="preserve">Days to Apply</t>
  </si>
  <si>
    <t xml:space="preserve">⬅ Correction (auto)</t>
  </si>
  <si>
    <t xml:space="preserve">APL-001</t>
  </si>
  <si>
    <t xml:space="preserve">CAP received Apr 14. Accepted. April report on time. Updated.</t>
  </si>
  <si>
    <t xml:space="preserve">\\fileserver\TO-Evidence\APL-001_closeout.pdf</t>
  </si>
  <si>
    <t xml:space="preserve">APL-002</t>
  </si>
  <si>
    <t xml:space="preserve">Resubmission: 3 Critical remediated. Deliverable accepted.</t>
  </si>
  <si>
    <t xml:space="preserve">\\fileserver\TO-Evidence\APL-002_closeout.pdf</t>
  </si>
  <si>
    <t xml:space="preserve">APL-003</t>
  </si>
  <si>
    <t xml:space="preserve">PIP submitted. March uptime 99.1%. Monitoring continues.</t>
  </si>
  <si>
    <t xml:space="preserve">\\fileserver\TO-Evidence\APL-003_closeout.pdf</t>
  </si>
  <si>
    <t xml:space="preserve">APL-004</t>
  </si>
  <si>
    <t xml:space="preserve">Verbal counseling noted. Next 4 reports on time. Closed.</t>
  </si>
  <si>
    <t xml:space="preserve">\\fileserver\TO-Evidence\APL-004_closeout.pdf</t>
  </si>
  <si>
    <t xml:space="preserve">APL-005</t>
  </si>
  <si>
    <t xml:space="preserve">2 personnel replaced 8 days. Clearance verified. Restored.</t>
  </si>
  <si>
    <t xml:space="preserve">\\fileserver\TO-Evidence\APL-005_closeout.pdf</t>
  </si>
  <si>
    <t xml:space="preserve">APL-006</t>
  </si>
  <si>
    <t xml:space="preserve">Cure notice issued. SLA met 4 weeks. Closed.</t>
  </si>
  <si>
    <t xml:space="preserve">\\fileserver\TO-Evidence\APL-006_closeout.pdf</t>
  </si>
  <si>
    <t xml:space="preserve">APL-007</t>
  </si>
  <si>
    <t xml:space="preserve">Q2 deliverable reformatted. Accepted. Compliance confirmed.</t>
  </si>
  <si>
    <t xml:space="preserve">\\fileserver\TO-Evidence\APL-007_closeout.pdf</t>
  </si>
  <si>
    <t xml:space="preserve">APL-008</t>
  </si>
  <si>
    <t xml:space="preserve">Sprint 15 coverage: 84%. Met. Accepted.</t>
  </si>
  <si>
    <t xml:space="preserve">\\fileserver\TO-Evidence\APL-008_closeout.pdf</t>
  </si>
  <si>
    <t xml:space="preserve">APL-009</t>
  </si>
  <si>
    <t xml:space="preserve">Revised roster received. Drill successful. Verified.</t>
  </si>
  <si>
    <t xml:space="preserve">\\fileserver\TO-Evidence\APL-009_closeout.pdf</t>
  </si>
  <si>
    <t xml:space="preserve">APL-010</t>
  </si>
  <si>
    <t xml:space="preserve">Auto verification running. 30-day 100% success. Closed.</t>
  </si>
  <si>
    <t xml:space="preserve">\\fileserver\TO-Evidence\APL-010_closeout.pdf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</si>
</sst>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0.0"/>
    <numFmt numFmtId="168" formatCode="yyyy\-mm\-dd\ h:mm:ss"/>
    <numFmt numFmtId="169" formatCode="0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22"/>
      <color rgb="FFFF9100"/>
      <name val="Arial"/>
      <family val="0"/>
      <charset val="1"/>
    </font>
    <font>
      <b val="true"/>
      <sz val="22"/>
      <color rgb="FF00D4FF"/>
      <name val="Arial"/>
      <family val="0"/>
      <charset val="1"/>
    </font>
    <font>
      <b val="true"/>
      <sz val="22"/>
      <color rgb="FFB388FF"/>
      <name val="Arial"/>
      <family val="0"/>
      <charset val="1"/>
    </font>
    <font>
      <b val="true"/>
      <sz val="22"/>
      <color rgb="FF00E676"/>
      <name val="Arial"/>
      <family val="0"/>
      <charset val="1"/>
    </font>
    <font>
      <b val="true"/>
      <sz val="22"/>
      <color rgb="FFFFB800"/>
      <name val="Arial"/>
      <family val="0"/>
      <charset val="1"/>
    </font>
    <font>
      <sz val="9"/>
      <color rgb="FF6B7D8E"/>
      <name val="Arial"/>
      <family val="0"/>
      <charset val="1"/>
    </font>
    <font>
      <b val="true"/>
      <sz val="11"/>
      <color rgb="FF00D4FF"/>
      <name val="Arial"/>
      <family val="0"/>
      <charset val="1"/>
    </font>
    <font>
      <b val="true"/>
      <sz val="14"/>
      <color rgb="FFFF4444"/>
      <name val="Arial"/>
      <family val="0"/>
      <charset val="1"/>
    </font>
    <font>
      <b val="true"/>
      <sz val="14"/>
      <color rgb="FF00E676"/>
      <name val="Arial"/>
      <family val="0"/>
      <charset val="1"/>
    </font>
    <font>
      <b val="true"/>
      <sz val="14"/>
      <color rgb="FF00D4FF"/>
      <name val="Arial"/>
      <family val="0"/>
      <charset val="1"/>
    </font>
    <font>
      <b val="true"/>
      <sz val="14"/>
      <color rgb="FFFF9100"/>
      <name val="Arial"/>
      <family val="0"/>
      <charset val="1"/>
    </font>
    <font>
      <b val="true"/>
      <sz val="14"/>
      <color rgb="FFFFB800"/>
      <name val="Arial"/>
      <family val="0"/>
      <charset val="1"/>
    </font>
    <font>
      <b val="true"/>
      <sz val="14"/>
      <color rgb="FF6B7D8E"/>
      <name val="Arial"/>
      <family val="0"/>
      <charset val="1"/>
    </font>
    <font>
      <b val="true"/>
      <sz val="10"/>
      <color rgb="FF00D4FF"/>
      <name val="Arial"/>
      <family val="0"/>
      <charset val="1"/>
    </font>
    <font>
      <b val="true"/>
      <sz val="10"/>
      <color rgb="FFB388FF"/>
      <name val="Arial"/>
      <family val="0"/>
      <charset val="1"/>
    </font>
    <font>
      <b val="true"/>
      <sz val="14"/>
      <color rgb="FFB388FF"/>
      <name val="Arial"/>
      <family val="0"/>
      <charset val="1"/>
    </font>
    <font>
      <b val="true"/>
      <sz val="10"/>
      <color rgb="FF00E676"/>
      <name val="Arial"/>
      <family val="0"/>
      <charset val="1"/>
    </font>
    <font>
      <b val="true"/>
      <sz val="10"/>
      <color rgb="FFFFB800"/>
      <name val="Arial"/>
      <family val="0"/>
      <charset val="1"/>
    </font>
    <font>
      <b val="true"/>
      <sz val="10"/>
      <color rgb="FFFF9100"/>
      <name val="Arial"/>
      <family val="0"/>
      <charset val="1"/>
    </font>
    <font>
      <sz val="9"/>
      <color rgb="FFC8C8D8"/>
      <name val="Arial"/>
      <family val="0"/>
      <charset val="1"/>
    </font>
    <font>
      <sz val="9"/>
      <color rgb="FFFFB8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55AA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0066CC"/>
      <name val="Arial"/>
      <family val="0"/>
      <charset val="1"/>
    </font>
    <font>
      <b val="true"/>
      <sz val="10"/>
      <color rgb="FF228B22"/>
      <name val="Arial"/>
      <family val="0"/>
      <charset val="1"/>
    </font>
    <font>
      <b val="true"/>
      <sz val="10"/>
      <color rgb="FF006600"/>
      <name val="Arial"/>
      <family val="0"/>
      <charset val="1"/>
    </font>
    <font>
      <b val="true"/>
      <sz val="10"/>
      <color rgb="FFDD6600"/>
      <name val="Arial"/>
      <family val="0"/>
      <charset val="1"/>
    </font>
    <font>
      <b val="true"/>
      <i val="true"/>
      <sz val="10"/>
      <color rgb="FFAABBCC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i val="true"/>
      <sz val="9"/>
      <color rgb="FF555577"/>
      <name val="Arial"/>
      <family val="0"/>
      <charset val="1"/>
    </font>
    <font>
      <sz val="10"/>
      <color rgb="FF228B22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838"/>
        <bgColor rgb="FF1A1A2E"/>
      </patternFill>
    </fill>
    <fill>
      <patternFill patternType="solid">
        <fgColor rgb="FF0D1321"/>
        <bgColor rgb="FF1A1A2E"/>
      </patternFill>
    </fill>
    <fill>
      <patternFill patternType="solid">
        <fgColor rgb="FFE8740C"/>
        <bgColor rgb="FFDD6600"/>
      </patternFill>
    </fill>
    <fill>
      <patternFill patternType="solid">
        <fgColor rgb="FFF5F7FA"/>
        <bgColor rgb="FFFFFFFF"/>
      </patternFill>
    </fill>
    <fill>
      <patternFill patternType="solid">
        <fgColor rgb="FFFFFFFF"/>
        <bgColor rgb="FFF5F7FA"/>
      </patternFill>
    </fill>
    <fill>
      <patternFill patternType="solid">
        <fgColor rgb="FF0099BB"/>
        <bgColor rgb="FF00994D"/>
      </patternFill>
    </fill>
    <fill>
      <patternFill patternType="solid">
        <fgColor rgb="FF7B5EA7"/>
        <bgColor rgb="FF6B7D8E"/>
      </patternFill>
    </fill>
    <fill>
      <patternFill patternType="solid">
        <fgColor rgb="FF00994D"/>
        <bgColor rgb="FF228B22"/>
      </patternFill>
    </fill>
    <fill>
      <patternFill patternType="solid">
        <fgColor rgb="FFCC9900"/>
        <bgColor rgb="FFFF91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DD"/>
      </left>
      <right/>
      <top style="thin">
        <color rgb="FFCCCCDD"/>
      </top>
      <bottom style="thin">
        <color rgb="FFCCCCDD"/>
      </bottom>
      <diagonal/>
    </border>
    <border diagonalUp="false" diagonalDown="false">
      <left style="thin">
        <color rgb="FFCCCCDD"/>
      </left>
      <right style="thin">
        <color rgb="FFCCCCDD"/>
      </right>
      <top style="thin">
        <color rgb="FFCCCCDD"/>
      </top>
      <bottom style="thin">
        <color rgb="FFCCCC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9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28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28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9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1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1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2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2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E8740C"/>
          <bgColor rgb="FF000000"/>
        </patternFill>
      </fill>
    </dxf>
    <dxf>
      <fill>
        <patternFill patternType="solid">
          <fgColor rgb="FFF5F7F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55AA"/>
          <bgColor rgb="FF000000"/>
        </patternFill>
      </fill>
    </dxf>
    <dxf>
      <fill>
        <patternFill patternType="solid">
          <fgColor rgb="FF1A1A2E"/>
          <bgColor rgb="FF000000"/>
        </patternFill>
      </fill>
    </dxf>
    <dxf>
      <fill>
        <patternFill patternType="solid">
          <fgColor rgb="FF006600"/>
          <bgColor rgb="FF000000"/>
        </patternFill>
      </fill>
    </dxf>
    <dxf>
      <fill>
        <patternFill patternType="solid">
          <fgColor rgb="FF0066CC"/>
          <bgColor rgb="FF000000"/>
        </patternFill>
      </fill>
    </dxf>
    <dxf>
      <fill>
        <patternFill patternType="solid">
          <fgColor rgb="FF228B22"/>
          <bgColor rgb="FF000000"/>
        </patternFill>
      </fill>
    </dxf>
    <dxf>
      <fill>
        <patternFill patternType="solid">
          <fgColor rgb="FFDD6600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CC0000"/>
          <bgColor rgb="FF000000"/>
        </patternFill>
      </fill>
    </dxf>
    <dxf>
      <font>
        <name val="Arial"/>
        <charset val="1"/>
        <family val="0"/>
        <b val="1"/>
        <color rgb="FFCC0000"/>
        <sz val="10"/>
      </font>
      <fill>
        <patternFill>
          <bgColor rgb="FFFFCCCC"/>
        </patternFill>
      </fill>
    </dxf>
    <dxf>
      <font>
        <name val="Arial"/>
        <charset val="1"/>
        <family val="0"/>
        <b val="1"/>
        <color rgb="FF996600"/>
        <sz val="10"/>
      </font>
      <fill>
        <patternFill>
          <bgColor rgb="FFFFF3CD"/>
        </patternFill>
      </fill>
    </dxf>
    <dxf>
      <fill>
        <patternFill patternType="solid">
          <fgColor rgb="FF0099B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555577"/>
          <bgColor rgb="FF000000"/>
        </patternFill>
      </fill>
    </dxf>
    <dxf>
      <fill>
        <patternFill patternType="solid">
          <fgColor rgb="FFAABBCC"/>
          <bgColor rgb="FF000000"/>
        </patternFill>
      </fill>
    </dxf>
    <dxf>
      <fill>
        <patternFill patternType="solid">
          <fgColor rgb="FF7B5EA7"/>
          <bgColor rgb="FF000000"/>
        </patternFill>
      </fill>
    </dxf>
    <dxf>
      <fill>
        <patternFill>
          <bgColor rgb="FFFFCCCC"/>
        </patternFill>
      </fill>
    </dxf>
    <dxf>
      <fill>
        <patternFill patternType="solid">
          <fgColor rgb="FF00994D"/>
          <bgColor rgb="FF000000"/>
        </patternFill>
      </fill>
    </dxf>
    <dxf>
      <fill>
        <patternFill patternType="solid">
          <fgColor rgb="FFCC9900"/>
          <bgColor rgb="FF000000"/>
        </patternFill>
      </fill>
    </dxf>
  </dxfs>
  <colors>
    <indexedColors>
      <rgbColor rgb="FF000000"/>
      <rgbColor rgb="FFFFFFFF"/>
      <rgbColor rgb="FFCC0000"/>
      <rgbColor rgb="FF00E676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994D"/>
      <rgbColor rgb="FFC8C8D8"/>
      <rgbColor rgb="FF6B7D8E"/>
      <rgbColor rgb="FF9999FF"/>
      <rgbColor rgb="FF993366"/>
      <rgbColor rgb="FFFFF3CD"/>
      <rgbColor rgb="FFF5F7FA"/>
      <rgbColor rgb="FF660066"/>
      <rgbColor rgb="FFFF4444"/>
      <rgbColor rgb="FF0066CC"/>
      <rgbColor rgb="FFCCCCDD"/>
      <rgbColor rgb="FF000080"/>
      <rgbColor rgb="FFFF00FF"/>
      <rgbColor rgb="FFFFFF00"/>
      <rgbColor rgb="FF00FFFF"/>
      <rgbColor rgb="FF800080"/>
      <rgbColor rgb="FF800000"/>
      <rgbColor rgb="FF0099BB"/>
      <rgbColor rgb="FF0000FF"/>
      <rgbColor rgb="FF00D4FF"/>
      <rgbColor rgb="FFCCFFFF"/>
      <rgbColor rgb="FFCCFFCC"/>
      <rgbColor rgb="FFFFFF99"/>
      <rgbColor rgb="FFAABBCC"/>
      <rgbColor rgb="FFFF99CC"/>
      <rgbColor rgb="FFB388FF"/>
      <rgbColor rgb="FFFFCCCC"/>
      <rgbColor rgb="FF3366FF"/>
      <rgbColor rgb="FF33CCCC"/>
      <rgbColor rgb="FFCC9900"/>
      <rgbColor rgb="FFFFB800"/>
      <rgbColor rgb="FFFF9100"/>
      <rgbColor rgb="FFE8740C"/>
      <rgbColor rgb="FF7B5EA7"/>
      <rgbColor rgb="FF969696"/>
      <rgbColor rgb="FF0055AA"/>
      <rgbColor rgb="FF228B22"/>
      <rgbColor rgb="FF0D1321"/>
      <rgbColor rgb="FF1A1A2E"/>
      <rgbColor rgb="FFDD6600"/>
      <rgbColor rgb="FF993366"/>
      <rgbColor rgb="FF555577"/>
      <rgbColor rgb="FF1B2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4FF"/>
    <pageSetUpPr fitToPage="false"/>
  </sheetPr>
  <dimension ref="A1:K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4"/>
    <col collapsed="false" customWidth="true" hidden="false" outlineLevel="0" max="8" min="7" style="0" width="14"/>
    <col collapsed="false" customWidth="true" hidden="false" outlineLevel="0" max="9" min="9" style="0" width="4"/>
    <col collapsed="false" customWidth="true" hidden="false" outlineLevel="0" max="10" min="10" style="0" width="18"/>
    <col collapsed="false" customWidth="true" hidden="false" outlineLevel="0" max="11" min="11" style="0" width="14"/>
  </cols>
  <sheetData>
    <row r="1" customFormat="false" ht="17.3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6.8" hidden="false" customHeight="false" outlineLevel="0" collapsed="false">
      <c r="A3" s="3" t="n">
        <f aca="false">COUNTA(Claims!A2:A1000)</f>
        <v>30</v>
      </c>
      <c r="B3" s="3"/>
      <c r="C3" s="4" t="n">
        <f aca="false">COUNTA(Events!A2:A1000)</f>
        <v>25</v>
      </c>
      <c r="D3" s="4"/>
      <c r="E3" s="5" t="n">
        <f aca="false">COUNTA(Reviews!A2:A1000)</f>
        <v>20</v>
      </c>
      <c r="F3" s="5"/>
      <c r="G3" s="6" t="n">
        <f aca="false">COUNTA(Patches!A2:A1000)</f>
        <v>15</v>
      </c>
      <c r="H3" s="6"/>
      <c r="I3" s="7" t="n">
        <f aca="false">COUNTA(Apply!A2:A1000)</f>
        <v>10</v>
      </c>
      <c r="J3" s="7"/>
      <c r="K3" s="2"/>
    </row>
    <row r="4" customFormat="false" ht="15" hidden="false" customHeight="true" outlineLevel="0" collapsed="false">
      <c r="A4" s="8" t="s">
        <v>1</v>
      </c>
      <c r="B4" s="8"/>
      <c r="C4" s="8" t="s">
        <v>2</v>
      </c>
      <c r="D4" s="8"/>
      <c r="E4" s="8" t="s">
        <v>3</v>
      </c>
      <c r="F4" s="8"/>
      <c r="G4" s="8" t="s">
        <v>4</v>
      </c>
      <c r="H4" s="8"/>
      <c r="I4" s="8" t="s">
        <v>5</v>
      </c>
      <c r="J4" s="8"/>
      <c r="K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customFormat="false" ht="15" hidden="false" customHeight="false" outlineLevel="0" collapsed="false">
      <c r="A6" s="9" t="s">
        <v>6</v>
      </c>
      <c r="B6" s="2"/>
      <c r="C6" s="2"/>
      <c r="D6" s="9" t="s">
        <v>7</v>
      </c>
      <c r="E6" s="2"/>
      <c r="F6" s="2"/>
      <c r="G6" s="9" t="s">
        <v>8</v>
      </c>
      <c r="H6" s="2"/>
      <c r="I6" s="2"/>
      <c r="J6" s="9" t="s">
        <v>9</v>
      </c>
      <c r="K6" s="2"/>
    </row>
    <row r="7" customFormat="false" ht="17.35" hidden="false" customHeight="false" outlineLevel="0" collapsed="false">
      <c r="A7" s="10" t="s">
        <v>10</v>
      </c>
      <c r="B7" s="11" t="n">
        <f aca="false">COUNTIF(Reviews!F2:F1000,"Y")</f>
        <v>11</v>
      </c>
      <c r="C7" s="2"/>
      <c r="D7" s="10" t="s">
        <v>5</v>
      </c>
      <c r="E7" s="12" t="n">
        <f aca="false">COUNTIF(Patches!H2:H1000,"Applied")</f>
        <v>4</v>
      </c>
      <c r="F7" s="2"/>
      <c r="G7" s="10" t="s">
        <v>11</v>
      </c>
      <c r="H7" s="11" t="n">
        <f aca="false">COUNTIF(Reviews!G2:G1000,"Critical")</f>
        <v>3</v>
      </c>
      <c r="I7" s="2"/>
      <c r="J7" s="10" t="s">
        <v>12</v>
      </c>
      <c r="K7" s="13" t="n">
        <f aca="false">COUNTIF(Claims!F2:F1000,"Open")</f>
        <v>18</v>
      </c>
    </row>
    <row r="8" customFormat="false" ht="17.35" hidden="false" customHeight="false" outlineLevel="0" collapsed="false">
      <c r="A8" s="10" t="s">
        <v>13</v>
      </c>
      <c r="B8" s="12" t="n">
        <f aca="false">COUNTIF(Reviews!F2:F1000,"N")</f>
        <v>9</v>
      </c>
      <c r="C8" s="2"/>
      <c r="D8" s="10" t="s">
        <v>14</v>
      </c>
      <c r="E8" s="13" t="n">
        <f aca="false">COUNTIF(Patches!H2:H1000,"Approved")</f>
        <v>7</v>
      </c>
      <c r="F8" s="2"/>
      <c r="G8" s="10" t="s">
        <v>15</v>
      </c>
      <c r="H8" s="14" t="n">
        <f aca="false">COUNTIF(Reviews!G2:G1000,"High")</f>
        <v>4</v>
      </c>
      <c r="I8" s="2"/>
      <c r="J8" s="10" t="s">
        <v>16</v>
      </c>
      <c r="K8" s="14" t="n">
        <f aca="false">COUNTIF(Claims!F2:F1000,"Under Review")</f>
        <v>4</v>
      </c>
    </row>
    <row r="9" customFormat="false" ht="17.35" hidden="false" customHeight="false" outlineLevel="0" collapsed="false">
      <c r="A9" s="10" t="s">
        <v>17</v>
      </c>
      <c r="B9" s="15" t="n">
        <f aca="false">IF(B7+B8&gt;0,B7/(B7+B8),0)</f>
        <v>0.55</v>
      </c>
      <c r="C9" s="2"/>
      <c r="D9" s="10" t="s">
        <v>18</v>
      </c>
      <c r="E9" s="11" t="n">
        <f aca="false">COUNTIF(Patches!H2:H1000,"Pending")</f>
        <v>4</v>
      </c>
      <c r="F9" s="2"/>
      <c r="G9" s="10" t="s">
        <v>19</v>
      </c>
      <c r="H9" s="16" t="n">
        <f aca="false">COUNTIF(Reviews!G2:G1000,"Medium")</f>
        <v>6</v>
      </c>
      <c r="I9" s="2"/>
      <c r="J9" s="10" t="s">
        <v>20</v>
      </c>
      <c r="K9" s="12" t="n">
        <f aca="false">COUNTIF(Claims!F2:F1000,"Patched")</f>
        <v>4</v>
      </c>
    </row>
    <row r="10" customFormat="false" ht="17.35" hidden="false" customHeight="false" outlineLevel="0" collapsed="false">
      <c r="A10" s="10" t="s">
        <v>21</v>
      </c>
      <c r="B10" s="11" t="n">
        <f aca="false">COUNTIF(Events!G2:G1000,"Y")</f>
        <v>14</v>
      </c>
      <c r="C10" s="2"/>
      <c r="D10" s="2"/>
      <c r="E10" s="2"/>
      <c r="F10" s="2"/>
      <c r="G10" s="10" t="s">
        <v>22</v>
      </c>
      <c r="H10" s="12" t="n">
        <f aca="false">COUNTIF(Reviews!G2:G1000,"Low")</f>
        <v>7</v>
      </c>
      <c r="I10" s="2"/>
      <c r="J10" s="10" t="s">
        <v>23</v>
      </c>
      <c r="K10" s="17" t="n">
        <f aca="false">COUNTIF(Claims!F2:F1000,"Closed")</f>
        <v>4</v>
      </c>
    </row>
    <row r="11" customFormat="false" ht="17.35" hidden="false" customHeight="false" outlineLevel="0" collapsed="false">
      <c r="A11" s="10" t="s">
        <v>24</v>
      </c>
      <c r="B11" s="12" t="n">
        <f aca="false">COUNTIF(Events!G2:G1000,"N")</f>
        <v>11</v>
      </c>
      <c r="C11" s="2"/>
      <c r="D11" s="2"/>
      <c r="E11" s="2"/>
      <c r="F11" s="2"/>
      <c r="G11" s="2"/>
      <c r="H11" s="2"/>
      <c r="I11" s="2"/>
      <c r="J11" s="2"/>
      <c r="K11" s="2"/>
    </row>
    <row r="12" customFormat="false" ht="17.35" hidden="false" customHeight="false" outlineLevel="0" collapsed="false">
      <c r="A12" s="10" t="s">
        <v>25</v>
      </c>
      <c r="B12" s="15" t="n">
        <f aca="false">IF(B10+B11&gt;0,B10/(B10+B11),0)</f>
        <v>0.56</v>
      </c>
      <c r="C12" s="2"/>
      <c r="D12" s="2"/>
      <c r="E12" s="2"/>
      <c r="F12" s="2"/>
      <c r="G12" s="2"/>
      <c r="H12" s="2"/>
      <c r="I12" s="2"/>
      <c r="J12" s="2"/>
      <c r="K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customFormat="false" ht="15" hidden="false" customHeight="false" outlineLevel="0" collapsed="false">
      <c r="A14" s="9" t="s">
        <v>26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customFormat="false" ht="17.35" hidden="false" customHeight="false" outlineLevel="0" collapsed="false">
      <c r="A15" s="18" t="s">
        <v>27</v>
      </c>
      <c r="B15" s="18"/>
      <c r="C15" s="19" t="n">
        <f aca="false">IFERROR(AVERAGE(Reviews!I2:I1000),"")</f>
        <v>31.45</v>
      </c>
      <c r="D15" s="2"/>
      <c r="E15" s="18" t="s">
        <v>28</v>
      </c>
      <c r="F15" s="18"/>
      <c r="G15" s="20" t="n">
        <f aca="false">IFERROR(AVERAGE(Patches!I2:I1000),"")</f>
        <v>-5.73333333333333</v>
      </c>
      <c r="H15" s="2"/>
      <c r="I15" s="18" t="s">
        <v>29</v>
      </c>
      <c r="J15" s="18"/>
      <c r="K15" s="21" t="n">
        <f aca="false">IFERROR(AVERAGE(Apply!H2:H1000),"")</f>
        <v>29.8</v>
      </c>
    </row>
    <row r="16" customFormat="false" ht="17.35" hidden="false" customHeight="false" outlineLevel="0" collapsed="false">
      <c r="A16" s="18" t="s">
        <v>30</v>
      </c>
      <c r="B16" s="18"/>
      <c r="C16" s="22" t="n">
        <f aca="false">IFERROR(MAX(Reviews!I2:I1000),"")</f>
        <v>89</v>
      </c>
      <c r="D16" s="2"/>
      <c r="E16" s="18" t="s">
        <v>31</v>
      </c>
      <c r="F16" s="18"/>
      <c r="G16" s="22" t="n">
        <f aca="false">IFERROR(MAX(Patches!I2:I1000),"")</f>
        <v>76</v>
      </c>
      <c r="H16" s="2"/>
      <c r="I16" s="18" t="s">
        <v>32</v>
      </c>
      <c r="J16" s="18"/>
      <c r="K16" s="22" t="n">
        <f aca="false">IFERROR(MAX(Apply!H2:H1000),"")</f>
        <v>111</v>
      </c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customFormat="false" ht="15" hidden="false" customHeight="false" outlineLevel="0" collapsed="false">
      <c r="A18" s="9" t="s">
        <v>33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customFormat="false" ht="17.35" hidden="false" customHeight="false" outlineLevel="0" collapsed="false">
      <c r="A19" s="23" t="s">
        <v>34</v>
      </c>
      <c r="B19" s="18" t="s">
        <v>35</v>
      </c>
      <c r="C19" s="18"/>
      <c r="D19" s="18"/>
      <c r="E19" s="24" t="n">
        <f aca="false">IFERROR(COUNTIF(Claims!G2:G1000,"?*")/COUNTA(Claims!A2:A1000),0)</f>
        <v>0.833333333333333</v>
      </c>
      <c r="F19" s="2"/>
      <c r="G19" s="2"/>
      <c r="H19" s="2"/>
      <c r="I19" s="2"/>
      <c r="J19" s="2"/>
      <c r="K19" s="2"/>
    </row>
    <row r="20" customFormat="false" ht="17.35" hidden="false" customHeight="false" outlineLevel="0" collapsed="false">
      <c r="A20" s="25" t="s">
        <v>36</v>
      </c>
      <c r="B20" s="18" t="s">
        <v>37</v>
      </c>
      <c r="C20" s="18"/>
      <c r="D20" s="18"/>
      <c r="E20" s="26" t="n">
        <f aca="false">IFERROR(COUNTA(Reviews!A2:A1000)/COUNTA(Events!A2:A1000),0)</f>
        <v>0.8</v>
      </c>
      <c r="F20" s="2"/>
      <c r="G20" s="2"/>
      <c r="H20" s="2"/>
      <c r="I20" s="2"/>
      <c r="J20" s="2"/>
      <c r="K20" s="2"/>
    </row>
    <row r="21" customFormat="false" ht="17.35" hidden="false" customHeight="false" outlineLevel="0" collapsed="false">
      <c r="A21" s="27" t="s">
        <v>38</v>
      </c>
      <c r="B21" s="18" t="s">
        <v>39</v>
      </c>
      <c r="C21" s="18"/>
      <c r="D21" s="18"/>
      <c r="E21" s="28" t="n">
        <f aca="false">IFERROR(COUNTA(Patches!A2:A1000)/COUNTA(Reviews!A2:A1000),0)</f>
        <v>0.75</v>
      </c>
      <c r="F21" s="2"/>
      <c r="G21" s="2"/>
      <c r="H21" s="2"/>
      <c r="I21" s="2"/>
      <c r="J21" s="2"/>
      <c r="K21" s="2"/>
    </row>
    <row r="22" customFormat="false" ht="17.35" hidden="false" customHeight="false" outlineLevel="0" collapsed="false">
      <c r="A22" s="29" t="s">
        <v>40</v>
      </c>
      <c r="B22" s="18" t="s">
        <v>41</v>
      </c>
      <c r="C22" s="18"/>
      <c r="D22" s="18"/>
      <c r="E22" s="30" t="n">
        <f aca="false">IFERROR(COUNTIF(Patches!H2:H1000,"Applied")/COUNTA(Patches!A2:A1000),0)</f>
        <v>0.266666666666667</v>
      </c>
      <c r="F22" s="2"/>
      <c r="G22" s="2"/>
      <c r="H22" s="2"/>
      <c r="I22" s="2"/>
      <c r="J22" s="2"/>
      <c r="K22" s="2"/>
    </row>
    <row r="23" customFormat="false" ht="17.35" hidden="false" customHeight="false" outlineLevel="0" collapsed="false">
      <c r="A23" s="31" t="s">
        <v>42</v>
      </c>
      <c r="B23" s="18" t="s">
        <v>43</v>
      </c>
      <c r="C23" s="18"/>
      <c r="D23" s="18"/>
      <c r="E23" s="15" t="n">
        <f aca="false">IFERROR(COUNTA(Apply!A2:A1000)/COUNTA(Claims!A2:A1000),0)</f>
        <v>0.333333333333333</v>
      </c>
      <c r="F23" s="2"/>
      <c r="G23" s="2"/>
      <c r="H23" s="2"/>
      <c r="I23" s="2"/>
      <c r="J23" s="2"/>
      <c r="K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customFormat="false" ht="15" hidden="false" customHeight="false" outlineLevel="0" collapsed="false">
      <c r="A25" s="9" t="s">
        <v>44</v>
      </c>
      <c r="B25" s="2"/>
      <c r="C25" s="2"/>
      <c r="D25" s="2"/>
      <c r="E25" s="2"/>
      <c r="F25" s="2"/>
      <c r="G25" s="2"/>
      <c r="H25" s="2"/>
      <c r="I25" s="2"/>
      <c r="J25" s="2"/>
      <c r="K25" s="2"/>
    </row>
    <row r="26" customFormat="false" ht="17.35" hidden="false" customHeight="false" outlineLevel="0" collapsed="false">
      <c r="A26" s="18" t="s">
        <v>45</v>
      </c>
      <c r="B26" s="18"/>
      <c r="C26" s="18"/>
      <c r="D26" s="18"/>
      <c r="E26" s="11" t="n">
        <f aca="false">COUNTIFS(Claims!F2:F1000,"Open",Claims!H2:H1000,"&gt;"&amp;30)</f>
        <v>18</v>
      </c>
      <c r="F26" s="2"/>
      <c r="G26" s="2"/>
      <c r="H26" s="2"/>
      <c r="I26" s="2"/>
      <c r="J26" s="2"/>
      <c r="K26" s="2"/>
    </row>
    <row r="27" customFormat="false" ht="17.35" hidden="false" customHeight="false" outlineLevel="0" collapsed="false">
      <c r="A27" s="18" t="s">
        <v>46</v>
      </c>
      <c r="B27" s="18"/>
      <c r="C27" s="18"/>
      <c r="D27" s="18"/>
      <c r="E27" s="14" t="n">
        <f aca="false">COUNTIFS(Claims!F2:F1000,"Open",Claims!H2:H1000,"&gt;"&amp;14,Claims!H2:H1000,"&lt;="&amp;30)</f>
        <v>0</v>
      </c>
      <c r="F27" s="2"/>
      <c r="G27" s="2"/>
      <c r="H27" s="2"/>
      <c r="I27" s="2"/>
      <c r="J27" s="2"/>
      <c r="K27" s="2"/>
    </row>
    <row r="28" customFormat="false" ht="17.35" hidden="false" customHeight="false" outlineLevel="0" collapsed="false">
      <c r="A28" s="18" t="s">
        <v>47</v>
      </c>
      <c r="B28" s="18"/>
      <c r="C28" s="18"/>
      <c r="D28" s="18"/>
      <c r="E28" s="11" t="n">
        <f aca="false">COUNTIFS(Reviews!F2:F1000,"Y",Reviews!I2:I1000,"&gt;"&amp;14)</f>
        <v>7</v>
      </c>
      <c r="F28" s="2"/>
      <c r="G28" s="2"/>
      <c r="H28" s="2"/>
      <c r="I28" s="2"/>
      <c r="J28" s="2"/>
      <c r="K28" s="2"/>
    </row>
    <row r="29" customFormat="false" ht="17.35" hidden="false" customHeight="false" outlineLevel="0" collapsed="false">
      <c r="A29" s="18" t="s">
        <v>48</v>
      </c>
      <c r="B29" s="18"/>
      <c r="C29" s="18"/>
      <c r="D29" s="18"/>
      <c r="E29" s="14" t="n">
        <f aca="false">COUNTIF(Patches!H2:H1000,"Pending")</f>
        <v>4</v>
      </c>
      <c r="F29" s="2"/>
      <c r="G29" s="2"/>
      <c r="H29" s="2"/>
      <c r="I29" s="2"/>
      <c r="J29" s="2"/>
      <c r="K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customFormat="false" ht="15" hidden="false" customHeight="false" outlineLevel="0" collapsed="false">
      <c r="A31" s="9" t="s">
        <v>49</v>
      </c>
      <c r="B31" s="2"/>
      <c r="C31" s="2"/>
      <c r="D31" s="2"/>
      <c r="E31" s="2"/>
      <c r="F31" s="2"/>
      <c r="G31" s="2"/>
      <c r="H31" s="2"/>
      <c r="I31" s="2"/>
      <c r="J31" s="2"/>
      <c r="K31" s="2"/>
    </row>
    <row r="32" customFormat="false" ht="15" hidden="false" customHeight="false" outlineLevel="0" collapsed="false">
      <c r="A32" s="32" t="s">
        <v>50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</row>
    <row r="33" customFormat="false" ht="15" hidden="false" customHeight="false" outlineLevel="0" collapsed="false">
      <c r="A33" s="32" t="s">
        <v>51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</row>
    <row r="34" customFormat="false" ht="15" hidden="false" customHeight="false" outlineLevel="0" collapsed="false">
      <c r="A34" s="32" t="s">
        <v>52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</row>
    <row r="35" customFormat="false" ht="15" hidden="false" customHeight="false" outlineLevel="0" collapsed="false">
      <c r="A35" s="32" t="s">
        <v>53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</row>
    <row r="36" customFormat="false" ht="15" hidden="false" customHeight="false" outlineLevel="0" collapsed="false">
      <c r="A36" s="32" t="s">
        <v>54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</row>
    <row r="37" customFormat="false" ht="15" hidden="false" customHeight="false" outlineLevel="0" collapsed="false">
      <c r="A37" s="33" t="s">
        <v>55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</row>
    <row r="38" customFormat="false" ht="15" hidden="false" customHeight="false" outlineLevel="0" collapsed="false">
      <c r="A38" s="33" t="s">
        <v>56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</row>
    <row r="39" customFormat="false" ht="15" hidden="false" customHeight="false" outlineLevel="0" collapsed="false">
      <c r="A39" s="33" t="s">
        <v>57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</sheetData>
  <mergeCells count="34">
    <mergeCell ref="A1:K1"/>
    <mergeCell ref="A3:B3"/>
    <mergeCell ref="C3:D3"/>
    <mergeCell ref="E3:F3"/>
    <mergeCell ref="G3:H3"/>
    <mergeCell ref="I3:J3"/>
    <mergeCell ref="A4:B4"/>
    <mergeCell ref="C4:D4"/>
    <mergeCell ref="E4:F4"/>
    <mergeCell ref="G4:H4"/>
    <mergeCell ref="I4:J4"/>
    <mergeCell ref="A15:B15"/>
    <mergeCell ref="E15:F15"/>
    <mergeCell ref="I15:J15"/>
    <mergeCell ref="A16:B16"/>
    <mergeCell ref="E16:F16"/>
    <mergeCell ref="I16:J16"/>
    <mergeCell ref="B19:D19"/>
    <mergeCell ref="B20:D20"/>
    <mergeCell ref="B21:D21"/>
    <mergeCell ref="B22:D22"/>
    <mergeCell ref="B23:D23"/>
    <mergeCell ref="A26:D26"/>
    <mergeCell ref="A27:D27"/>
    <mergeCell ref="A28:D28"/>
    <mergeCell ref="A29:D29"/>
    <mergeCell ref="A32:K32"/>
    <mergeCell ref="A33:K33"/>
    <mergeCell ref="A34:K34"/>
    <mergeCell ref="A35:K35"/>
    <mergeCell ref="A36:K36"/>
    <mergeCell ref="A37:K37"/>
    <mergeCell ref="A38:K38"/>
    <mergeCell ref="A39:K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100"/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55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20"/>
    <col collapsed="false" customWidth="true" hidden="false" outlineLevel="0" max="8" min="8" style="0" width="12"/>
  </cols>
  <sheetData>
    <row r="1" customFormat="false" ht="26.85" hidden="false" customHeight="false" outlineLevel="0" collapsed="false">
      <c r="A1" s="34" t="s">
        <v>58</v>
      </c>
      <c r="B1" s="34" t="s">
        <v>59</v>
      </c>
      <c r="C1" s="34" t="s">
        <v>60</v>
      </c>
      <c r="D1" s="34" t="s">
        <v>61</v>
      </c>
      <c r="E1" s="34" t="s">
        <v>62</v>
      </c>
      <c r="F1" s="34" t="s">
        <v>63</v>
      </c>
      <c r="G1" s="34" t="s">
        <v>64</v>
      </c>
      <c r="H1" s="34" t="s">
        <v>65</v>
      </c>
    </row>
    <row r="2" customFormat="false" ht="23.85" hidden="false" customHeight="false" outlineLevel="0" collapsed="false">
      <c r="A2" s="35" t="s">
        <v>66</v>
      </c>
      <c r="B2" s="36" t="n">
        <v>45941</v>
      </c>
      <c r="C2" s="37" t="s">
        <v>67</v>
      </c>
      <c r="D2" s="37" t="s">
        <v>68</v>
      </c>
      <c r="E2" s="37" t="s">
        <v>69</v>
      </c>
      <c r="F2" s="38" t="s">
        <v>12</v>
      </c>
      <c r="G2" s="37" t="s">
        <v>70</v>
      </c>
      <c r="H2" s="39" t="n">
        <f aca="true">IF(F2="Closed","—",TODAY()-B2)</f>
        <v>152</v>
      </c>
    </row>
    <row r="3" customFormat="false" ht="23.85" hidden="false" customHeight="false" outlineLevel="0" collapsed="false">
      <c r="A3" s="40" t="s">
        <v>71</v>
      </c>
      <c r="B3" s="41" t="n">
        <v>45931</v>
      </c>
      <c r="C3" s="42" t="s">
        <v>72</v>
      </c>
      <c r="D3" s="42" t="s">
        <v>73</v>
      </c>
      <c r="E3" s="42" t="s">
        <v>74</v>
      </c>
      <c r="F3" s="43" t="s">
        <v>23</v>
      </c>
      <c r="G3" s="42" t="s">
        <v>75</v>
      </c>
      <c r="H3" s="44" t="str">
        <f aca="true">IF(F3="Closed","—",TODAY()-B3)</f>
        <v>—</v>
      </c>
    </row>
    <row r="4" customFormat="false" ht="23.85" hidden="false" customHeight="false" outlineLevel="0" collapsed="false">
      <c r="A4" s="35" t="s">
        <v>76</v>
      </c>
      <c r="B4" s="36" t="n">
        <v>45935</v>
      </c>
      <c r="C4" s="37" t="s">
        <v>77</v>
      </c>
      <c r="D4" s="37" t="s">
        <v>78</v>
      </c>
      <c r="E4" s="37" t="s">
        <v>79</v>
      </c>
      <c r="F4" s="38" t="s">
        <v>12</v>
      </c>
      <c r="G4" s="37" t="s">
        <v>80</v>
      </c>
      <c r="H4" s="39" t="n">
        <f aca="true">IF(F4="Closed","—",TODAY()-B4)</f>
        <v>158</v>
      </c>
    </row>
    <row r="5" customFormat="false" ht="23.85" hidden="false" customHeight="false" outlineLevel="0" collapsed="false">
      <c r="A5" s="40" t="s">
        <v>81</v>
      </c>
      <c r="B5" s="41" t="n">
        <v>45934</v>
      </c>
      <c r="C5" s="42" t="s">
        <v>82</v>
      </c>
      <c r="D5" s="42" t="s">
        <v>83</v>
      </c>
      <c r="E5" s="42" t="s">
        <v>84</v>
      </c>
      <c r="F5" s="45" t="s">
        <v>12</v>
      </c>
      <c r="G5" s="42" t="s">
        <v>85</v>
      </c>
      <c r="H5" s="44" t="n">
        <f aca="true">IF(F5="Closed","—",TODAY()-B5)</f>
        <v>159</v>
      </c>
    </row>
    <row r="6" customFormat="false" ht="23.85" hidden="false" customHeight="false" outlineLevel="0" collapsed="false">
      <c r="A6" s="35" t="s">
        <v>86</v>
      </c>
      <c r="B6" s="36" t="n">
        <v>45942</v>
      </c>
      <c r="C6" s="37" t="s">
        <v>87</v>
      </c>
      <c r="D6" s="37" t="s">
        <v>88</v>
      </c>
      <c r="E6" s="37" t="s">
        <v>89</v>
      </c>
      <c r="F6" s="38" t="s">
        <v>12</v>
      </c>
      <c r="G6" s="37" t="s">
        <v>90</v>
      </c>
      <c r="H6" s="39" t="n">
        <f aca="true">IF(F6="Closed","—",TODAY()-B6)</f>
        <v>151</v>
      </c>
    </row>
    <row r="7" customFormat="false" ht="23.85" hidden="false" customHeight="false" outlineLevel="0" collapsed="false">
      <c r="A7" s="40" t="s">
        <v>91</v>
      </c>
      <c r="B7" s="41" t="n">
        <v>45941</v>
      </c>
      <c r="C7" s="42" t="s">
        <v>67</v>
      </c>
      <c r="D7" s="42" t="s">
        <v>92</v>
      </c>
      <c r="E7" s="42" t="s">
        <v>93</v>
      </c>
      <c r="F7" s="43" t="s">
        <v>23</v>
      </c>
      <c r="G7" s="42" t="s">
        <v>94</v>
      </c>
      <c r="H7" s="44" t="str">
        <f aca="true">IF(F7="Closed","—",TODAY()-B7)</f>
        <v>—</v>
      </c>
    </row>
    <row r="8" customFormat="false" ht="23.85" hidden="false" customHeight="false" outlineLevel="0" collapsed="false">
      <c r="A8" s="35" t="s">
        <v>95</v>
      </c>
      <c r="B8" s="36" t="n">
        <v>45945</v>
      </c>
      <c r="C8" s="37" t="s">
        <v>72</v>
      </c>
      <c r="D8" s="37" t="s">
        <v>96</v>
      </c>
      <c r="E8" s="37" t="s">
        <v>97</v>
      </c>
      <c r="F8" s="46" t="s">
        <v>20</v>
      </c>
      <c r="G8" s="37" t="s">
        <v>98</v>
      </c>
      <c r="H8" s="39" t="n">
        <f aca="true">IF(F8="Closed","—",TODAY()-B8)</f>
        <v>148</v>
      </c>
    </row>
    <row r="9" customFormat="false" ht="23.85" hidden="false" customHeight="false" outlineLevel="0" collapsed="false">
      <c r="A9" s="40" t="s">
        <v>99</v>
      </c>
      <c r="B9" s="41" t="n">
        <v>45932</v>
      </c>
      <c r="C9" s="42" t="s">
        <v>77</v>
      </c>
      <c r="D9" s="42" t="s">
        <v>100</v>
      </c>
      <c r="E9" s="42" t="s">
        <v>101</v>
      </c>
      <c r="F9" s="47" t="s">
        <v>20</v>
      </c>
      <c r="G9" s="42" t="s">
        <v>102</v>
      </c>
      <c r="H9" s="44" t="n">
        <f aca="true">IF(F9="Closed","—",TODAY()-B9)</f>
        <v>161</v>
      </c>
    </row>
    <row r="10" customFormat="false" ht="23.85" hidden="false" customHeight="false" outlineLevel="0" collapsed="false">
      <c r="A10" s="35" t="s">
        <v>103</v>
      </c>
      <c r="B10" s="36" t="n">
        <v>45937</v>
      </c>
      <c r="C10" s="37" t="s">
        <v>82</v>
      </c>
      <c r="D10" s="37" t="s">
        <v>104</v>
      </c>
      <c r="E10" s="37" t="s">
        <v>105</v>
      </c>
      <c r="F10" s="38" t="s">
        <v>12</v>
      </c>
      <c r="G10" s="37" t="s">
        <v>106</v>
      </c>
      <c r="H10" s="39" t="n">
        <f aca="true">IF(F10="Closed","—",TODAY()-B10)</f>
        <v>156</v>
      </c>
    </row>
    <row r="11" customFormat="false" ht="23.85" hidden="false" customHeight="false" outlineLevel="0" collapsed="false">
      <c r="A11" s="40" t="s">
        <v>107</v>
      </c>
      <c r="B11" s="41" t="n">
        <v>45931</v>
      </c>
      <c r="C11" s="42" t="s">
        <v>87</v>
      </c>
      <c r="D11" s="42" t="s">
        <v>108</v>
      </c>
      <c r="E11" s="42" t="s">
        <v>109</v>
      </c>
      <c r="F11" s="45" t="s">
        <v>12</v>
      </c>
      <c r="G11" s="42" t="s">
        <v>110</v>
      </c>
      <c r="H11" s="44" t="n">
        <f aca="true">IF(F11="Closed","—",TODAY()-B11)</f>
        <v>162</v>
      </c>
    </row>
    <row r="12" customFormat="false" ht="23.85" hidden="false" customHeight="false" outlineLevel="0" collapsed="false">
      <c r="A12" s="35" t="s">
        <v>111</v>
      </c>
      <c r="B12" s="36" t="n">
        <v>45934</v>
      </c>
      <c r="C12" s="37" t="s">
        <v>67</v>
      </c>
      <c r="D12" s="37" t="s">
        <v>112</v>
      </c>
      <c r="E12" s="37" t="s">
        <v>113</v>
      </c>
      <c r="F12" s="38" t="s">
        <v>12</v>
      </c>
      <c r="G12" s="37" t="s">
        <v>114</v>
      </c>
      <c r="H12" s="39" t="n">
        <f aca="true">IF(F12="Closed","—",TODAY()-B12)</f>
        <v>159</v>
      </c>
    </row>
    <row r="13" customFormat="false" ht="23.85" hidden="false" customHeight="false" outlineLevel="0" collapsed="false">
      <c r="A13" s="40" t="s">
        <v>115</v>
      </c>
      <c r="B13" s="41" t="n">
        <v>45939</v>
      </c>
      <c r="C13" s="42" t="s">
        <v>72</v>
      </c>
      <c r="D13" s="42" t="s">
        <v>116</v>
      </c>
      <c r="E13" s="42" t="s">
        <v>117</v>
      </c>
      <c r="F13" s="47" t="s">
        <v>20</v>
      </c>
      <c r="G13" s="42" t="s">
        <v>118</v>
      </c>
      <c r="H13" s="44" t="n">
        <f aca="true">IF(F13="Closed","—",TODAY()-B13)</f>
        <v>154</v>
      </c>
    </row>
    <row r="14" customFormat="false" ht="23.85" hidden="false" customHeight="false" outlineLevel="0" collapsed="false">
      <c r="A14" s="35" t="s">
        <v>119</v>
      </c>
      <c r="B14" s="36" t="n">
        <v>45931</v>
      </c>
      <c r="C14" s="37" t="s">
        <v>77</v>
      </c>
      <c r="D14" s="37" t="s">
        <v>120</v>
      </c>
      <c r="E14" s="37" t="s">
        <v>121</v>
      </c>
      <c r="F14" s="46" t="s">
        <v>20</v>
      </c>
      <c r="G14" s="37" t="s">
        <v>122</v>
      </c>
      <c r="H14" s="39" t="n">
        <f aca="true">IF(F14="Closed","—",TODAY()-B14)</f>
        <v>162</v>
      </c>
    </row>
    <row r="15" customFormat="false" ht="23.85" hidden="false" customHeight="false" outlineLevel="0" collapsed="false">
      <c r="A15" s="40" t="s">
        <v>123</v>
      </c>
      <c r="B15" s="41" t="n">
        <v>45934</v>
      </c>
      <c r="C15" s="42" t="s">
        <v>82</v>
      </c>
      <c r="D15" s="42" t="s">
        <v>124</v>
      </c>
      <c r="E15" s="42" t="s">
        <v>125</v>
      </c>
      <c r="F15" s="43" t="s">
        <v>23</v>
      </c>
      <c r="G15" s="42" t="s">
        <v>126</v>
      </c>
      <c r="H15" s="44" t="str">
        <f aca="true">IF(F15="Closed","—",TODAY()-B15)</f>
        <v>—</v>
      </c>
    </row>
    <row r="16" customFormat="false" ht="23.85" hidden="false" customHeight="false" outlineLevel="0" collapsed="false">
      <c r="A16" s="35" t="s">
        <v>127</v>
      </c>
      <c r="B16" s="36" t="n">
        <v>45941</v>
      </c>
      <c r="C16" s="37" t="s">
        <v>87</v>
      </c>
      <c r="D16" s="37" t="s">
        <v>128</v>
      </c>
      <c r="E16" s="37" t="s">
        <v>129</v>
      </c>
      <c r="F16" s="48" t="s">
        <v>23</v>
      </c>
      <c r="G16" s="37" t="s">
        <v>130</v>
      </c>
      <c r="H16" s="39" t="str">
        <f aca="true">IF(F16="Closed","—",TODAY()-B16)</f>
        <v>—</v>
      </c>
    </row>
    <row r="17" customFormat="false" ht="23.85" hidden="false" customHeight="false" outlineLevel="0" collapsed="false">
      <c r="A17" s="40" t="s">
        <v>131</v>
      </c>
      <c r="B17" s="41" t="n">
        <v>45939</v>
      </c>
      <c r="C17" s="42" t="s">
        <v>67</v>
      </c>
      <c r="D17" s="42" t="s">
        <v>132</v>
      </c>
      <c r="E17" s="42" t="s">
        <v>69</v>
      </c>
      <c r="F17" s="49" t="s">
        <v>16</v>
      </c>
      <c r="G17" s="42" t="s">
        <v>133</v>
      </c>
      <c r="H17" s="44" t="n">
        <f aca="true">IF(F17="Closed","—",TODAY()-B17)</f>
        <v>154</v>
      </c>
    </row>
    <row r="18" customFormat="false" ht="23.85" hidden="false" customHeight="false" outlineLevel="0" collapsed="false">
      <c r="A18" s="35" t="s">
        <v>134</v>
      </c>
      <c r="B18" s="36" t="n">
        <v>45934</v>
      </c>
      <c r="C18" s="37" t="s">
        <v>72</v>
      </c>
      <c r="D18" s="37" t="s">
        <v>135</v>
      </c>
      <c r="E18" s="37" t="s">
        <v>74</v>
      </c>
      <c r="F18" s="50" t="s">
        <v>16</v>
      </c>
      <c r="G18" s="37" t="s">
        <v>136</v>
      </c>
      <c r="H18" s="39" t="n">
        <f aca="true">IF(F18="Closed","—",TODAY()-B18)</f>
        <v>159</v>
      </c>
    </row>
    <row r="19" customFormat="false" ht="23.85" hidden="false" customHeight="false" outlineLevel="0" collapsed="false">
      <c r="A19" s="40" t="s">
        <v>137</v>
      </c>
      <c r="B19" s="41" t="n">
        <v>45940</v>
      </c>
      <c r="C19" s="42" t="s">
        <v>77</v>
      </c>
      <c r="D19" s="42" t="s">
        <v>138</v>
      </c>
      <c r="E19" s="42" t="s">
        <v>79</v>
      </c>
      <c r="F19" s="45" t="s">
        <v>12</v>
      </c>
      <c r="G19" s="42" t="s">
        <v>139</v>
      </c>
      <c r="H19" s="44" t="n">
        <f aca="true">IF(F19="Closed","—",TODAY()-B19)</f>
        <v>153</v>
      </c>
    </row>
    <row r="20" customFormat="false" ht="23.85" hidden="false" customHeight="false" outlineLevel="0" collapsed="false">
      <c r="A20" s="35" t="s">
        <v>140</v>
      </c>
      <c r="B20" s="36" t="n">
        <v>45943</v>
      </c>
      <c r="C20" s="37" t="s">
        <v>82</v>
      </c>
      <c r="D20" s="37" t="s">
        <v>141</v>
      </c>
      <c r="E20" s="37" t="s">
        <v>84</v>
      </c>
      <c r="F20" s="38" t="s">
        <v>12</v>
      </c>
      <c r="G20" s="37" t="s">
        <v>142</v>
      </c>
      <c r="H20" s="39" t="n">
        <f aca="true">IF(F20="Closed","—",TODAY()-B20)</f>
        <v>150</v>
      </c>
    </row>
    <row r="21" customFormat="false" ht="23.85" hidden="false" customHeight="false" outlineLevel="0" collapsed="false">
      <c r="A21" s="40" t="s">
        <v>143</v>
      </c>
      <c r="B21" s="41" t="n">
        <v>45943</v>
      </c>
      <c r="C21" s="42" t="s">
        <v>87</v>
      </c>
      <c r="D21" s="42" t="s">
        <v>144</v>
      </c>
      <c r="E21" s="42" t="s">
        <v>89</v>
      </c>
      <c r="F21" s="45" t="s">
        <v>12</v>
      </c>
      <c r="G21" s="42" t="s">
        <v>145</v>
      </c>
      <c r="H21" s="44" t="n">
        <f aca="true">IF(F21="Closed","—",TODAY()-B21)</f>
        <v>150</v>
      </c>
    </row>
    <row r="22" customFormat="false" ht="23.85" hidden="false" customHeight="false" outlineLevel="0" collapsed="false">
      <c r="A22" s="35" t="s">
        <v>146</v>
      </c>
      <c r="B22" s="36" t="n">
        <v>45942</v>
      </c>
      <c r="C22" s="37" t="s">
        <v>67</v>
      </c>
      <c r="D22" s="37" t="s">
        <v>147</v>
      </c>
      <c r="E22" s="37" t="s">
        <v>93</v>
      </c>
      <c r="F22" s="50" t="s">
        <v>16</v>
      </c>
      <c r="G22" s="37" t="s">
        <v>148</v>
      </c>
      <c r="H22" s="39" t="n">
        <f aca="true">IF(F22="Closed","—",TODAY()-B22)</f>
        <v>151</v>
      </c>
    </row>
    <row r="23" customFormat="false" ht="23.85" hidden="false" customHeight="false" outlineLevel="0" collapsed="false">
      <c r="A23" s="40" t="s">
        <v>149</v>
      </c>
      <c r="B23" s="41" t="n">
        <v>45936</v>
      </c>
      <c r="C23" s="42" t="s">
        <v>72</v>
      </c>
      <c r="D23" s="42" t="s">
        <v>150</v>
      </c>
      <c r="E23" s="42" t="s">
        <v>97</v>
      </c>
      <c r="F23" s="45" t="s">
        <v>12</v>
      </c>
      <c r="G23" s="42" t="s">
        <v>151</v>
      </c>
      <c r="H23" s="44" t="n">
        <f aca="true">IF(F23="Closed","—",TODAY()-B23)</f>
        <v>157</v>
      </c>
    </row>
    <row r="24" customFormat="false" ht="23.85" hidden="false" customHeight="false" outlineLevel="0" collapsed="false">
      <c r="A24" s="35" t="s">
        <v>152</v>
      </c>
      <c r="B24" s="36" t="n">
        <v>45933</v>
      </c>
      <c r="C24" s="37" t="s">
        <v>77</v>
      </c>
      <c r="D24" s="37" t="s">
        <v>153</v>
      </c>
      <c r="E24" s="37" t="s">
        <v>101</v>
      </c>
      <c r="F24" s="38" t="s">
        <v>12</v>
      </c>
      <c r="G24" s="37" t="s">
        <v>154</v>
      </c>
      <c r="H24" s="39" t="n">
        <f aca="true">IF(F24="Closed","—",TODAY()-B24)</f>
        <v>160</v>
      </c>
    </row>
    <row r="25" customFormat="false" ht="23.85" hidden="false" customHeight="false" outlineLevel="0" collapsed="false">
      <c r="A25" s="40" t="s">
        <v>155</v>
      </c>
      <c r="B25" s="41" t="n">
        <v>45943</v>
      </c>
      <c r="C25" s="42" t="s">
        <v>82</v>
      </c>
      <c r="D25" s="42" t="s">
        <v>156</v>
      </c>
      <c r="E25" s="42" t="s">
        <v>105</v>
      </c>
      <c r="F25" s="45" t="s">
        <v>12</v>
      </c>
      <c r="G25" s="42" t="s">
        <v>157</v>
      </c>
      <c r="H25" s="44" t="n">
        <f aca="true">IF(F25="Closed","—",TODAY()-B25)</f>
        <v>150</v>
      </c>
    </row>
    <row r="26" customFormat="false" ht="23.85" hidden="false" customHeight="false" outlineLevel="0" collapsed="false">
      <c r="A26" s="35" t="s">
        <v>158</v>
      </c>
      <c r="B26" s="36" t="n">
        <v>45932</v>
      </c>
      <c r="C26" s="37" t="s">
        <v>87</v>
      </c>
      <c r="D26" s="37" t="s">
        <v>159</v>
      </c>
      <c r="E26" s="37" t="s">
        <v>109</v>
      </c>
      <c r="F26" s="38" t="s">
        <v>12</v>
      </c>
      <c r="G26" s="37" t="s">
        <v>160</v>
      </c>
      <c r="H26" s="39" t="n">
        <f aca="true">IF(F26="Closed","—",TODAY()-B26)</f>
        <v>161</v>
      </c>
    </row>
    <row r="27" customFormat="false" ht="23.85" hidden="false" customHeight="false" outlineLevel="0" collapsed="false">
      <c r="A27" s="40" t="s">
        <v>161</v>
      </c>
      <c r="B27" s="41" t="n">
        <v>45937</v>
      </c>
      <c r="C27" s="42" t="s">
        <v>67</v>
      </c>
      <c r="D27" s="42" t="s">
        <v>162</v>
      </c>
      <c r="E27" s="42" t="s">
        <v>113</v>
      </c>
      <c r="F27" s="45" t="s">
        <v>12</v>
      </c>
      <c r="G27" s="42"/>
      <c r="H27" s="44" t="n">
        <f aca="true">IF(F27="Closed","—",TODAY()-B27)</f>
        <v>156</v>
      </c>
    </row>
    <row r="28" customFormat="false" ht="23.85" hidden="false" customHeight="false" outlineLevel="0" collapsed="false">
      <c r="A28" s="35" t="s">
        <v>163</v>
      </c>
      <c r="B28" s="36" t="n">
        <v>45936</v>
      </c>
      <c r="C28" s="37" t="s">
        <v>72</v>
      </c>
      <c r="D28" s="37" t="s">
        <v>164</v>
      </c>
      <c r="E28" s="37" t="s">
        <v>117</v>
      </c>
      <c r="F28" s="38" t="s">
        <v>12</v>
      </c>
      <c r="G28" s="37"/>
      <c r="H28" s="39" t="n">
        <f aca="true">IF(F28="Closed","—",TODAY()-B28)</f>
        <v>157</v>
      </c>
    </row>
    <row r="29" customFormat="false" ht="23.85" hidden="false" customHeight="false" outlineLevel="0" collapsed="false">
      <c r="A29" s="40" t="s">
        <v>165</v>
      </c>
      <c r="B29" s="41" t="n">
        <v>45940</v>
      </c>
      <c r="C29" s="42" t="s">
        <v>77</v>
      </c>
      <c r="D29" s="42" t="s">
        <v>166</v>
      </c>
      <c r="E29" s="42" t="s">
        <v>121</v>
      </c>
      <c r="F29" s="45" t="s">
        <v>12</v>
      </c>
      <c r="G29" s="42"/>
      <c r="H29" s="44" t="n">
        <f aca="true">IF(F29="Closed","—",TODAY()-B29)</f>
        <v>153</v>
      </c>
    </row>
    <row r="30" customFormat="false" ht="23.85" hidden="false" customHeight="false" outlineLevel="0" collapsed="false">
      <c r="A30" s="35" t="s">
        <v>167</v>
      </c>
      <c r="B30" s="36" t="n">
        <v>45943</v>
      </c>
      <c r="C30" s="37" t="s">
        <v>82</v>
      </c>
      <c r="D30" s="37" t="s">
        <v>168</v>
      </c>
      <c r="E30" s="37" t="s">
        <v>125</v>
      </c>
      <c r="F30" s="38" t="s">
        <v>12</v>
      </c>
      <c r="G30" s="37"/>
      <c r="H30" s="39" t="n">
        <f aca="true">IF(F30="Closed","—",TODAY()-B30)</f>
        <v>150</v>
      </c>
    </row>
    <row r="31" customFormat="false" ht="23.85" hidden="false" customHeight="false" outlineLevel="0" collapsed="false">
      <c r="A31" s="40" t="s">
        <v>169</v>
      </c>
      <c r="B31" s="41" t="n">
        <v>45942</v>
      </c>
      <c r="C31" s="42" t="s">
        <v>87</v>
      </c>
      <c r="D31" s="42" t="s">
        <v>170</v>
      </c>
      <c r="E31" s="42" t="s">
        <v>129</v>
      </c>
      <c r="F31" s="49" t="s">
        <v>16</v>
      </c>
      <c r="G31" s="42"/>
      <c r="H31" s="44" t="n">
        <f aca="true">IF(F31="Closed","—",TODAY()-B31)</f>
        <v>151</v>
      </c>
    </row>
  </sheetData>
  <autoFilter ref="A1:H31"/>
  <conditionalFormatting sqref="H2:H31">
    <cfRule type="expression" priority="2" aboveAverage="0" equalAverage="0" bottom="0" percent="0" rank="0" text="" dxfId="11">
      <formula>AND(H2&lt;&gt;"—",H2&gt;30)</formula>
    </cfRule>
    <cfRule type="expression" priority="3" aboveAverage="0" equalAverage="0" bottom="0" percent="0" rank="0" text="" dxfId="12">
      <formula>AND(H2&lt;&gt;"—",H2&gt;14,H2&lt;=30)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4FF"/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50"/>
    <col collapsed="false" customWidth="true" hidden="false" outlineLevel="0" max="6" min="6" style="0" width="32"/>
    <col collapsed="false" customWidth="true" hidden="false" outlineLevel="0" max="7" min="7" style="0" width="11"/>
    <col collapsed="false" customWidth="true" hidden="false" outlineLevel="0" max="8" min="8" style="0" width="40"/>
    <col collapsed="false" customWidth="true" hidden="false" outlineLevel="0" max="9" min="9" style="0" width="14"/>
  </cols>
  <sheetData>
    <row r="1" customFormat="false" ht="23.85" hidden="false" customHeight="false" outlineLevel="0" collapsed="false">
      <c r="A1" s="51" t="s">
        <v>171</v>
      </c>
      <c r="B1" s="51" t="s">
        <v>59</v>
      </c>
      <c r="C1" s="51" t="s">
        <v>58</v>
      </c>
      <c r="D1" s="51" t="s">
        <v>172</v>
      </c>
      <c r="E1" s="51" t="s">
        <v>173</v>
      </c>
      <c r="F1" s="51" t="s">
        <v>174</v>
      </c>
      <c r="G1" s="51" t="s">
        <v>175</v>
      </c>
      <c r="H1" s="52" t="s">
        <v>176</v>
      </c>
      <c r="I1" s="52" t="s">
        <v>177</v>
      </c>
    </row>
    <row r="2" customFormat="false" ht="23.85" hidden="false" customHeight="false" outlineLevel="0" collapsed="false">
      <c r="A2" s="35" t="s">
        <v>70</v>
      </c>
      <c r="B2" s="36" t="n">
        <v>46014</v>
      </c>
      <c r="C2" s="37" t="s">
        <v>66</v>
      </c>
      <c r="D2" s="37" t="s">
        <v>82</v>
      </c>
      <c r="E2" s="37" t="s">
        <v>178</v>
      </c>
      <c r="F2" s="37" t="s">
        <v>179</v>
      </c>
      <c r="G2" s="53" t="s">
        <v>180</v>
      </c>
      <c r="H2" s="54" t="str">
        <f aca="false">IFERROR(VLOOKUP(C2,Claims!A:D,4,FALSE()),"")</f>
        <v>Contractor shall deliver monthly status report by 5th business day</v>
      </c>
      <c r="I2" s="54" t="str">
        <f aca="false">IFERROR(VLOOKUP(C2,Claims!A:E,5,FALSE()),"")</f>
        <v>SOW 3.1</v>
      </c>
    </row>
    <row r="3" customFormat="false" ht="23.85" hidden="false" customHeight="false" outlineLevel="0" collapsed="false">
      <c r="A3" s="40" t="s">
        <v>75</v>
      </c>
      <c r="B3" s="41" t="n">
        <v>45956</v>
      </c>
      <c r="C3" s="42" t="s">
        <v>71</v>
      </c>
      <c r="D3" s="42" t="s">
        <v>77</v>
      </c>
      <c r="E3" s="42" t="s">
        <v>181</v>
      </c>
      <c r="F3" s="42" t="s">
        <v>182</v>
      </c>
      <c r="G3" s="55" t="s">
        <v>183</v>
      </c>
      <c r="H3" s="54" t="str">
        <f aca="false">IFERROR(VLOOKUP(C3,Claims!A:D,4,FALSE()),"")</f>
        <v>All software deliverables shall pass security scan before acceptance</v>
      </c>
      <c r="I3" s="54" t="str">
        <f aca="false">IFERROR(VLOOKUP(C3,Claims!A:E,5,FALSE()),"")</f>
        <v>SOW 3.2</v>
      </c>
    </row>
    <row r="4" customFormat="false" ht="23.85" hidden="false" customHeight="false" outlineLevel="0" collapsed="false">
      <c r="A4" s="35" t="s">
        <v>80</v>
      </c>
      <c r="B4" s="36" t="n">
        <v>45992</v>
      </c>
      <c r="C4" s="37" t="s">
        <v>76</v>
      </c>
      <c r="D4" s="37" t="s">
        <v>72</v>
      </c>
      <c r="E4" s="37" t="s">
        <v>184</v>
      </c>
      <c r="F4" s="37" t="s">
        <v>185</v>
      </c>
      <c r="G4" s="56" t="s">
        <v>183</v>
      </c>
      <c r="H4" s="54" t="str">
        <f aca="false">IFERROR(VLOOKUP(C4,Claims!A:D,4,FALSE()),"")</f>
        <v>Contractor shall maintain 98% system uptime during core hours</v>
      </c>
      <c r="I4" s="54" t="str">
        <f aca="false">IFERROR(VLOOKUP(C4,Claims!A:E,5,FALSE()),"")</f>
        <v>SOW 4.1</v>
      </c>
    </row>
    <row r="5" customFormat="false" ht="23.85" hidden="false" customHeight="false" outlineLevel="0" collapsed="false">
      <c r="A5" s="40" t="s">
        <v>85</v>
      </c>
      <c r="B5" s="41" t="n">
        <v>45954</v>
      </c>
      <c r="C5" s="42" t="s">
        <v>81</v>
      </c>
      <c r="D5" s="42" t="s">
        <v>72</v>
      </c>
      <c r="E5" s="42" t="s">
        <v>186</v>
      </c>
      <c r="F5" s="42" t="s">
        <v>187</v>
      </c>
      <c r="G5" s="57" t="s">
        <v>180</v>
      </c>
      <c r="H5" s="54" t="str">
        <f aca="false">IFERROR(VLOOKUP(C5,Claims!A:D,4,FALSE()),"")</f>
        <v>Weekly staffing report due every Monday by 1200</v>
      </c>
      <c r="I5" s="54" t="str">
        <f aca="false">IFERROR(VLOOKUP(C5,Claims!A:E,5,FALSE()),"")</f>
        <v>SOW 5.3</v>
      </c>
    </row>
    <row r="6" customFormat="false" ht="23.85" hidden="false" customHeight="false" outlineLevel="0" collapsed="false">
      <c r="A6" s="35" t="s">
        <v>90</v>
      </c>
      <c r="B6" s="36" t="n">
        <v>45983</v>
      </c>
      <c r="C6" s="37" t="s">
        <v>86</v>
      </c>
      <c r="D6" s="37" t="s">
        <v>72</v>
      </c>
      <c r="E6" s="37" t="s">
        <v>188</v>
      </c>
      <c r="F6" s="37" t="s">
        <v>189</v>
      </c>
      <c r="G6" s="53" t="s">
        <v>180</v>
      </c>
      <c r="H6" s="54" t="str">
        <f aca="false">IFERROR(VLOOKUP(C6,Claims!A:D,4,FALSE()),"")</f>
        <v>All personnel shall hold current security clearance at TS/SCI</v>
      </c>
      <c r="I6" s="54" t="str">
        <f aca="false">IFERROR(VLOOKUP(C6,Claims!A:E,5,FALSE()),"")</f>
        <v>CDRL A001</v>
      </c>
    </row>
    <row r="7" customFormat="false" ht="23.85" hidden="false" customHeight="false" outlineLevel="0" collapsed="false">
      <c r="A7" s="40" t="s">
        <v>94</v>
      </c>
      <c r="B7" s="41" t="n">
        <v>45958</v>
      </c>
      <c r="C7" s="42" t="s">
        <v>91</v>
      </c>
      <c r="D7" s="42" t="s">
        <v>77</v>
      </c>
      <c r="E7" s="42" t="s">
        <v>190</v>
      </c>
      <c r="F7" s="42" t="s">
        <v>191</v>
      </c>
      <c r="G7" s="55" t="s">
        <v>183</v>
      </c>
      <c r="H7" s="54" t="str">
        <f aca="false">IFERROR(VLOOKUP(C7,Claims!A:D,4,FALSE()),"")</f>
        <v>Help desk response time shall not exceed 15 minutes</v>
      </c>
      <c r="I7" s="54" t="str">
        <f aca="false">IFERROR(VLOOKUP(C7,Claims!A:E,5,FALSE()),"")</f>
        <v>CDRL A003</v>
      </c>
    </row>
    <row r="8" customFormat="false" ht="23.85" hidden="false" customHeight="false" outlineLevel="0" collapsed="false">
      <c r="A8" s="35" t="s">
        <v>98</v>
      </c>
      <c r="B8" s="36" t="n">
        <v>46004</v>
      </c>
      <c r="C8" s="37" t="s">
        <v>95</v>
      </c>
      <c r="D8" s="37" t="s">
        <v>72</v>
      </c>
      <c r="E8" s="37" t="s">
        <v>192</v>
      </c>
      <c r="F8" s="37" t="s">
        <v>193</v>
      </c>
      <c r="G8" s="53" t="s">
        <v>180</v>
      </c>
      <c r="H8" s="54" t="str">
        <f aca="false">IFERROR(VLOOKUP(C8,Claims!A:D,4,FALSE()),"")</f>
        <v>Quarterly program review briefing by 10th of quarter</v>
      </c>
      <c r="I8" s="54" t="str">
        <f aca="false">IFERROR(VLOOKUP(C8,Claims!A:E,5,FALSE()),"")</f>
        <v>CDRL A005</v>
      </c>
    </row>
    <row r="9" customFormat="false" ht="23.85" hidden="false" customHeight="false" outlineLevel="0" collapsed="false">
      <c r="A9" s="40" t="s">
        <v>102</v>
      </c>
      <c r="B9" s="41" t="n">
        <v>45993</v>
      </c>
      <c r="C9" s="42" t="s">
        <v>99</v>
      </c>
      <c r="D9" s="42" t="s">
        <v>72</v>
      </c>
      <c r="E9" s="42" t="s">
        <v>194</v>
      </c>
      <c r="F9" s="42" t="s">
        <v>195</v>
      </c>
      <c r="G9" s="57" t="s">
        <v>180</v>
      </c>
      <c r="H9" s="54" t="str">
        <f aca="false">IFERROR(VLOOKUP(C9,Claims!A:D,4,FALSE()),"")</f>
        <v>All code commits shall include unit test coverage above 80%</v>
      </c>
      <c r="I9" s="54" t="str">
        <f aca="false">IFERROR(VLOOKUP(C9,Claims!A:E,5,FALSE()),"")</f>
        <v>PWS 3.2.1</v>
      </c>
    </row>
    <row r="10" customFormat="false" ht="23.85" hidden="false" customHeight="false" outlineLevel="0" collapsed="false">
      <c r="A10" s="35" t="s">
        <v>106</v>
      </c>
      <c r="B10" s="36" t="n">
        <v>45980</v>
      </c>
      <c r="C10" s="37" t="s">
        <v>103</v>
      </c>
      <c r="D10" s="37" t="s">
        <v>87</v>
      </c>
      <c r="E10" s="37" t="s">
        <v>196</v>
      </c>
      <c r="F10" s="37" t="s">
        <v>197</v>
      </c>
      <c r="G10" s="53" t="s">
        <v>180</v>
      </c>
      <c r="H10" s="54" t="str">
        <f aca="false">IFERROR(VLOOKUP(C10,Claims!A:D,4,FALSE()),"")</f>
        <v>Contractor shall provide 24/7 on-call support for critical systems</v>
      </c>
      <c r="I10" s="54" t="str">
        <f aca="false">IFERROR(VLOOKUP(C10,Claims!A:E,5,FALSE()),"")</f>
        <v>PWS 4.1.3</v>
      </c>
    </row>
    <row r="11" customFormat="false" ht="23.85" hidden="false" customHeight="false" outlineLevel="0" collapsed="false">
      <c r="A11" s="40" t="s">
        <v>110</v>
      </c>
      <c r="B11" s="41" t="n">
        <v>45967</v>
      </c>
      <c r="C11" s="42" t="s">
        <v>107</v>
      </c>
      <c r="D11" s="42" t="s">
        <v>72</v>
      </c>
      <c r="E11" s="42" t="s">
        <v>198</v>
      </c>
      <c r="F11" s="42" t="s">
        <v>199</v>
      </c>
      <c r="G11" s="55" t="s">
        <v>183</v>
      </c>
      <c r="H11" s="54" t="str">
        <f aca="false">IFERROR(VLOOKUP(C11,Claims!A:D,4,FALSE()),"")</f>
        <v>Data backup completed nightly with verification log weekly</v>
      </c>
      <c r="I11" s="54" t="str">
        <f aca="false">IFERROR(VLOOKUP(C11,Claims!A:E,5,FALSE()),"")</f>
        <v>QASP 2</v>
      </c>
    </row>
    <row r="12" customFormat="false" ht="23.85" hidden="false" customHeight="false" outlineLevel="0" collapsed="false">
      <c r="A12" s="35" t="s">
        <v>114</v>
      </c>
      <c r="B12" s="36" t="n">
        <v>45966</v>
      </c>
      <c r="C12" s="37" t="s">
        <v>111</v>
      </c>
      <c r="D12" s="37" t="s">
        <v>82</v>
      </c>
      <c r="E12" s="37" t="s">
        <v>200</v>
      </c>
      <c r="F12" s="37" t="s">
        <v>201</v>
      </c>
      <c r="G12" s="56" t="s">
        <v>183</v>
      </c>
      <c r="H12" s="54" t="str">
        <f aca="false">IFERROR(VLOOKUP(C12,Claims!A:D,4,FALSE()),"")</f>
        <v>Network monitoring dashboard updated real-time 5-min refresh</v>
      </c>
      <c r="I12" s="54" t="str">
        <f aca="false">IFERROR(VLOOKUP(C12,Claims!A:E,5,FALSE()),"")</f>
        <v>QASP 4</v>
      </c>
    </row>
    <row r="13" customFormat="false" ht="23.85" hidden="false" customHeight="false" outlineLevel="0" collapsed="false">
      <c r="A13" s="40" t="s">
        <v>118</v>
      </c>
      <c r="B13" s="41" t="n">
        <v>45980</v>
      </c>
      <c r="C13" s="42" t="s">
        <v>115</v>
      </c>
      <c r="D13" s="42" t="s">
        <v>72</v>
      </c>
      <c r="E13" s="42" t="s">
        <v>202</v>
      </c>
      <c r="F13" s="42" t="s">
        <v>203</v>
      </c>
      <c r="G13" s="55" t="s">
        <v>183</v>
      </c>
      <c r="H13" s="54" t="str">
        <f aca="false">IFERROR(VLOOKUP(C13,Claims!A:D,4,FALSE()),"")</f>
        <v>Incident response initiated within 30 minutes of detection</v>
      </c>
      <c r="I13" s="54" t="str">
        <f aca="false">IFERROR(VLOOKUP(C13,Claims!A:E,5,FALSE()),"")</f>
        <v>TO Mod 001</v>
      </c>
    </row>
    <row r="14" customFormat="false" ht="23.85" hidden="false" customHeight="false" outlineLevel="0" collapsed="false">
      <c r="A14" s="35" t="s">
        <v>122</v>
      </c>
      <c r="B14" s="36" t="n">
        <v>45987</v>
      </c>
      <c r="C14" s="37" t="s">
        <v>119</v>
      </c>
      <c r="D14" s="37" t="s">
        <v>72</v>
      </c>
      <c r="E14" s="37" t="s">
        <v>204</v>
      </c>
      <c r="F14" s="37" t="s">
        <v>205</v>
      </c>
      <c r="G14" s="53" t="s">
        <v>180</v>
      </c>
      <c r="H14" s="54" t="str">
        <f aca="false">IFERROR(VLOOKUP(C14,Claims!A:D,4,FALSE()),"")</f>
        <v>All documentation per DI-MGMT-81466</v>
      </c>
      <c r="I14" s="54" t="str">
        <f aca="false">IFERROR(VLOOKUP(C14,Claims!A:E,5,FALSE()),"")</f>
        <v>TO Mod 003</v>
      </c>
    </row>
    <row r="15" customFormat="false" ht="23.85" hidden="false" customHeight="false" outlineLevel="0" collapsed="false">
      <c r="A15" s="40" t="s">
        <v>126</v>
      </c>
      <c r="B15" s="41" t="n">
        <v>45950</v>
      </c>
      <c r="C15" s="42" t="s">
        <v>123</v>
      </c>
      <c r="D15" s="42" t="s">
        <v>82</v>
      </c>
      <c r="E15" s="42" t="s">
        <v>206</v>
      </c>
      <c r="F15" s="42" t="s">
        <v>207</v>
      </c>
      <c r="G15" s="57" t="s">
        <v>180</v>
      </c>
      <c r="H15" s="54" t="str">
        <f aca="false">IFERROR(VLOOKUP(C15,Claims!A:D,4,FALSE()),"")</f>
        <v>Training materials updated within 30 days of system change</v>
      </c>
      <c r="I15" s="54" t="str">
        <f aca="false">IFERROR(VLOOKUP(C15,Claims!A:E,5,FALSE()),"")</f>
        <v>Policy 24-01</v>
      </c>
    </row>
    <row r="16" customFormat="false" ht="23.85" hidden="false" customHeight="false" outlineLevel="0" collapsed="false">
      <c r="A16" s="35" t="s">
        <v>130</v>
      </c>
      <c r="B16" s="36" t="n">
        <v>45980</v>
      </c>
      <c r="C16" s="37" t="s">
        <v>127</v>
      </c>
      <c r="D16" s="37" t="s">
        <v>72</v>
      </c>
      <c r="E16" s="37" t="s">
        <v>208</v>
      </c>
      <c r="F16" s="37" t="s">
        <v>209</v>
      </c>
      <c r="G16" s="53" t="s">
        <v>180</v>
      </c>
      <c r="H16" s="54" t="str">
        <f aca="false">IFERROR(VLOOKUP(C16,Claims!A:D,4,FALSE()),"")</f>
        <v>Transition plan delivered 90 days before PoP end</v>
      </c>
      <c r="I16" s="54" t="str">
        <f aca="false">IFERROR(VLOOKUP(C16,Claims!A:E,5,FALSE()),"")</f>
        <v>COR Dir 25-001</v>
      </c>
    </row>
    <row r="17" customFormat="false" ht="23.85" hidden="false" customHeight="false" outlineLevel="0" collapsed="false">
      <c r="A17" s="40" t="s">
        <v>133</v>
      </c>
      <c r="B17" s="41" t="n">
        <v>46018</v>
      </c>
      <c r="C17" s="42" t="s">
        <v>131</v>
      </c>
      <c r="D17" s="42" t="s">
        <v>72</v>
      </c>
      <c r="E17" s="42" t="s">
        <v>210</v>
      </c>
      <c r="F17" s="42" t="s">
        <v>211</v>
      </c>
      <c r="G17" s="57" t="s">
        <v>180</v>
      </c>
      <c r="H17" s="54" t="str">
        <f aca="false">IFERROR(VLOOKUP(C17,Claims!A:D,4,FALSE()),"")</f>
        <v>Comply with NIST 800-171 requirements</v>
      </c>
      <c r="I17" s="54" t="str">
        <f aca="false">IFERROR(VLOOKUP(C17,Claims!A:E,5,FALSE()),"")</f>
        <v>SOW 3.1</v>
      </c>
    </row>
    <row r="18" customFormat="false" ht="23.85" hidden="false" customHeight="false" outlineLevel="0" collapsed="false">
      <c r="A18" s="35" t="s">
        <v>136</v>
      </c>
      <c r="B18" s="36" t="n">
        <v>46009</v>
      </c>
      <c r="C18" s="37" t="s">
        <v>134</v>
      </c>
      <c r="D18" s="37" t="s">
        <v>82</v>
      </c>
      <c r="E18" s="37" t="s">
        <v>212</v>
      </c>
      <c r="F18" s="37" t="s">
        <v>213</v>
      </c>
      <c r="G18" s="56" t="s">
        <v>183</v>
      </c>
      <c r="H18" s="54" t="str">
        <f aca="false">IFERROR(VLOOKUP(C18,Claims!A:D,4,FALSE()),"")</f>
        <v>Configuration management plan maintained and current</v>
      </c>
      <c r="I18" s="54" t="str">
        <f aca="false">IFERROR(VLOOKUP(C18,Claims!A:E,5,FALSE()),"")</f>
        <v>SOW 3.2</v>
      </c>
    </row>
    <row r="19" customFormat="false" ht="23.85" hidden="false" customHeight="false" outlineLevel="0" collapsed="false">
      <c r="A19" s="40" t="s">
        <v>139</v>
      </c>
      <c r="B19" s="41" t="n">
        <v>45964</v>
      </c>
      <c r="C19" s="42" t="s">
        <v>137</v>
      </c>
      <c r="D19" s="42" t="s">
        <v>72</v>
      </c>
      <c r="E19" s="42" t="s">
        <v>214</v>
      </c>
      <c r="F19" s="42" t="s">
        <v>215</v>
      </c>
      <c r="G19" s="57" t="s">
        <v>180</v>
      </c>
      <c r="H19" s="54" t="str">
        <f aca="false">IFERROR(VLOOKUP(C19,Claims!A:D,4,FALSE()),"")</f>
        <v>System patches applied within 72 hours for critical CVEs</v>
      </c>
      <c r="I19" s="54" t="str">
        <f aca="false">IFERROR(VLOOKUP(C19,Claims!A:E,5,FALSE()),"")</f>
        <v>SOW 4.1</v>
      </c>
    </row>
    <row r="20" customFormat="false" ht="23.85" hidden="false" customHeight="false" outlineLevel="0" collapsed="false">
      <c r="A20" s="35" t="s">
        <v>142</v>
      </c>
      <c r="B20" s="36" t="n">
        <v>45977</v>
      </c>
      <c r="C20" s="37" t="s">
        <v>140</v>
      </c>
      <c r="D20" s="37" t="s">
        <v>87</v>
      </c>
      <c r="E20" s="37" t="s">
        <v>216</v>
      </c>
      <c r="F20" s="37" t="s">
        <v>217</v>
      </c>
      <c r="G20" s="56" t="s">
        <v>183</v>
      </c>
      <c r="H20" s="54" t="str">
        <f aca="false">IFERROR(VLOOKUP(C20,Claims!A:D,4,FALSE()),"")</f>
        <v>All travel requires prior written COR approval</v>
      </c>
      <c r="I20" s="54" t="str">
        <f aca="false">IFERROR(VLOOKUP(C20,Claims!A:E,5,FALSE()),"")</f>
        <v>SOW 5.3</v>
      </c>
    </row>
    <row r="21" customFormat="false" ht="23.85" hidden="false" customHeight="false" outlineLevel="0" collapsed="false">
      <c r="A21" s="40" t="s">
        <v>145</v>
      </c>
      <c r="B21" s="41" t="n">
        <v>45979</v>
      </c>
      <c r="C21" s="42" t="s">
        <v>143</v>
      </c>
      <c r="D21" s="42" t="s">
        <v>82</v>
      </c>
      <c r="E21" s="42" t="s">
        <v>218</v>
      </c>
      <c r="F21" s="42" t="s">
        <v>219</v>
      </c>
      <c r="G21" s="55" t="s">
        <v>183</v>
      </c>
      <c r="H21" s="54" t="str">
        <f aca="false">IFERROR(VLOOKUP(C21,Claims!A:D,4,FALSE()),"")</f>
        <v>Monthly financial report with cost/burn-rate by 10th</v>
      </c>
      <c r="I21" s="54" t="str">
        <f aca="false">IFERROR(VLOOKUP(C21,Claims!A:E,5,FALSE()),"")</f>
        <v>CDRL A001</v>
      </c>
    </row>
    <row r="22" customFormat="false" ht="23.85" hidden="false" customHeight="false" outlineLevel="0" collapsed="false">
      <c r="A22" s="35" t="s">
        <v>148</v>
      </c>
      <c r="B22" s="36" t="n">
        <v>46020</v>
      </c>
      <c r="C22" s="37" t="s">
        <v>146</v>
      </c>
      <c r="D22" s="37" t="s">
        <v>77</v>
      </c>
      <c r="E22" s="37" t="s">
        <v>220</v>
      </c>
      <c r="F22" s="37" t="s">
        <v>221</v>
      </c>
      <c r="G22" s="56" t="s">
        <v>183</v>
      </c>
      <c r="H22" s="54" t="str">
        <f aca="false">IFERROR(VLOOKUP(C22,Claims!A:D,4,FALSE()),"")</f>
        <v>Risk register maintained and reviewed at each program review</v>
      </c>
      <c r="I22" s="54" t="str">
        <f aca="false">IFERROR(VLOOKUP(C22,Claims!A:E,5,FALSE()),"")</f>
        <v>CDRL A003</v>
      </c>
    </row>
    <row r="23" customFormat="false" ht="23.85" hidden="false" customHeight="false" outlineLevel="0" collapsed="false">
      <c r="A23" s="40" t="s">
        <v>151</v>
      </c>
      <c r="B23" s="41" t="n">
        <v>45974</v>
      </c>
      <c r="C23" s="42" t="s">
        <v>149</v>
      </c>
      <c r="D23" s="42" t="s">
        <v>87</v>
      </c>
      <c r="E23" s="42" t="s">
        <v>222</v>
      </c>
      <c r="F23" s="42" t="s">
        <v>223</v>
      </c>
      <c r="G23" s="57" t="s">
        <v>180</v>
      </c>
      <c r="H23" s="54" t="str">
        <f aca="false">IFERROR(VLOOKUP(C23,Claims!A:D,4,FALSE()),"")</f>
        <v>Key personnel changes require 30-day advance notice</v>
      </c>
      <c r="I23" s="54" t="str">
        <f aca="false">IFERROR(VLOOKUP(C23,Claims!A:E,5,FALSE()),"")</f>
        <v>CDRL A005</v>
      </c>
    </row>
    <row r="24" customFormat="false" ht="23.85" hidden="false" customHeight="false" outlineLevel="0" collapsed="false">
      <c r="A24" s="35" t="s">
        <v>154</v>
      </c>
      <c r="B24" s="36" t="n">
        <v>46009</v>
      </c>
      <c r="C24" s="37" t="s">
        <v>152</v>
      </c>
      <c r="D24" s="37" t="s">
        <v>67</v>
      </c>
      <c r="E24" s="37" t="s">
        <v>224</v>
      </c>
      <c r="F24" s="37" t="s">
        <v>225</v>
      </c>
      <c r="G24" s="53" t="s">
        <v>180</v>
      </c>
      <c r="H24" s="54" t="str">
        <f aca="false">IFERROR(VLOOKUP(C24,Claims!A:D,4,FALSE()),"")</f>
        <v>All GFE tracked in property log</v>
      </c>
      <c r="I24" s="54" t="str">
        <f aca="false">IFERROR(VLOOKUP(C24,Claims!A:E,5,FALSE()),"")</f>
        <v>PWS 3.2.1</v>
      </c>
    </row>
    <row r="25" customFormat="false" ht="23.85" hidden="false" customHeight="false" outlineLevel="0" collapsed="false">
      <c r="A25" s="40" t="s">
        <v>157</v>
      </c>
      <c r="B25" s="41" t="n">
        <v>45960</v>
      </c>
      <c r="C25" s="42" t="s">
        <v>155</v>
      </c>
      <c r="D25" s="42" t="s">
        <v>72</v>
      </c>
      <c r="E25" s="42" t="s">
        <v>226</v>
      </c>
      <c r="F25" s="42" t="s">
        <v>227</v>
      </c>
      <c r="G25" s="57" t="s">
        <v>180</v>
      </c>
      <c r="H25" s="54" t="str">
        <f aca="false">IFERROR(VLOOKUP(C25,Claims!A:D,4,FALSE()),"")</f>
        <v>Test plan approved before system testing begins</v>
      </c>
      <c r="I25" s="54" t="str">
        <f aca="false">IFERROR(VLOOKUP(C25,Claims!A:E,5,FALSE()),"")</f>
        <v>PWS 4.1.3</v>
      </c>
    </row>
    <row r="26" customFormat="false" ht="23.85" hidden="false" customHeight="false" outlineLevel="0" collapsed="false">
      <c r="A26" s="35" t="s">
        <v>160</v>
      </c>
      <c r="B26" s="36" t="n">
        <v>46000</v>
      </c>
      <c r="C26" s="37" t="s">
        <v>158</v>
      </c>
      <c r="D26" s="37" t="s">
        <v>67</v>
      </c>
      <c r="E26" s="37" t="s">
        <v>228</v>
      </c>
      <c r="F26" s="37" t="s">
        <v>229</v>
      </c>
      <c r="G26" s="56" t="s">
        <v>183</v>
      </c>
      <c r="H26" s="54" t="str">
        <f aca="false">IFERROR(VLOOKUP(C26,Claims!A:D,4,FALSE()),"")</f>
        <v>Final delivery acceptance within 10 business days</v>
      </c>
      <c r="I26" s="54" t="str">
        <f aca="false">IFERROR(VLOOKUP(C26,Claims!A:E,5,FALSE()),"")</f>
        <v>QASP 2</v>
      </c>
    </row>
  </sheetData>
  <autoFilter ref="A1:I26"/>
  <dataValidations count="2">
    <dataValidation allowBlank="true" error="Must exist in Claims tab." errorStyle="stop" errorTitle="Invalid ClaimID" operator="between" showDropDown="false" showErrorMessage="false" showInputMessage="false" sqref="C2:C1000" type="list">
      <formula1>Claims!$A$2:$A$31</formula1>
      <formula2>0</formula2>
    </dataValidation>
    <dataValidation allowBlank="true" errorStyle="stop" operator="between" showDropDown="false" showErrorMessage="false" showInputMessage="false" sqref="G2:G100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388FF"/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50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40"/>
  </cols>
  <sheetData>
    <row r="1" customFormat="false" ht="23.85" hidden="false" customHeight="false" outlineLevel="0" collapsed="false">
      <c r="A1" s="58" t="s">
        <v>230</v>
      </c>
      <c r="B1" s="58" t="s">
        <v>59</v>
      </c>
      <c r="C1" s="58" t="s">
        <v>58</v>
      </c>
      <c r="D1" s="58" t="s">
        <v>171</v>
      </c>
      <c r="E1" s="58" t="s">
        <v>231</v>
      </c>
      <c r="F1" s="58" t="s">
        <v>232</v>
      </c>
      <c r="G1" s="58" t="s">
        <v>233</v>
      </c>
      <c r="H1" s="58" t="s">
        <v>234</v>
      </c>
      <c r="I1" s="59" t="s">
        <v>235</v>
      </c>
      <c r="J1" s="59" t="s">
        <v>236</v>
      </c>
    </row>
    <row r="2" customFormat="false" ht="23.85" hidden="false" customHeight="false" outlineLevel="0" collapsed="false">
      <c r="A2" s="35" t="s">
        <v>237</v>
      </c>
      <c r="B2" s="36" t="n">
        <v>46010</v>
      </c>
      <c r="C2" s="37" t="s">
        <v>66</v>
      </c>
      <c r="D2" s="37" t="s">
        <v>70</v>
      </c>
      <c r="E2" s="37" t="s">
        <v>238</v>
      </c>
      <c r="F2" s="56" t="s">
        <v>183</v>
      </c>
      <c r="G2" s="53" t="s">
        <v>11</v>
      </c>
      <c r="H2" s="37" t="s">
        <v>239</v>
      </c>
      <c r="I2" s="60" t="n">
        <f aca="false">IFERROR(B2-VLOOKUP(D2,Events!A:B,2,FALSE()),"")</f>
        <v>-4</v>
      </c>
      <c r="J2" s="54" t="str">
        <f aca="false">IFERROR(VLOOKUP(C2,Claims!A:D,4,FALSE()),"")</f>
        <v>Contractor shall deliver monthly status report by 5th business day</v>
      </c>
    </row>
    <row r="3" customFormat="false" ht="23.85" hidden="false" customHeight="false" outlineLevel="0" collapsed="false">
      <c r="A3" s="40" t="s">
        <v>240</v>
      </c>
      <c r="B3" s="41" t="n">
        <v>46028</v>
      </c>
      <c r="C3" s="42" t="s">
        <v>71</v>
      </c>
      <c r="D3" s="42" t="s">
        <v>75</v>
      </c>
      <c r="E3" s="42" t="s">
        <v>241</v>
      </c>
      <c r="F3" s="57" t="s">
        <v>180</v>
      </c>
      <c r="G3" s="61" t="s">
        <v>22</v>
      </c>
      <c r="H3" s="42" t="s">
        <v>67</v>
      </c>
      <c r="I3" s="60" t="n">
        <f aca="false">IFERROR(B3-VLOOKUP(D3,Events!A:B,2,FALSE()),"")</f>
        <v>72</v>
      </c>
      <c r="J3" s="54" t="str">
        <f aca="false">IFERROR(VLOOKUP(C3,Claims!A:D,4,FALSE()),"")</f>
        <v>All software deliverables shall pass security scan before acceptance</v>
      </c>
    </row>
    <row r="4" customFormat="false" ht="23.85" hidden="false" customHeight="false" outlineLevel="0" collapsed="false">
      <c r="A4" s="35" t="s">
        <v>242</v>
      </c>
      <c r="B4" s="36" t="n">
        <v>46048</v>
      </c>
      <c r="C4" s="37" t="s">
        <v>76</v>
      </c>
      <c r="D4" s="37" t="s">
        <v>80</v>
      </c>
      <c r="E4" s="37" t="s">
        <v>243</v>
      </c>
      <c r="F4" s="53" t="s">
        <v>180</v>
      </c>
      <c r="G4" s="62" t="s">
        <v>15</v>
      </c>
      <c r="H4" s="37" t="s">
        <v>244</v>
      </c>
      <c r="I4" s="60" t="n">
        <f aca="false">IFERROR(B4-VLOOKUP(D4,Events!A:B,2,FALSE()),"")</f>
        <v>56</v>
      </c>
      <c r="J4" s="54" t="str">
        <f aca="false">IFERROR(VLOOKUP(C4,Claims!A:D,4,FALSE()),"")</f>
        <v>Contractor shall maintain 98% system uptime during core hours</v>
      </c>
    </row>
    <row r="5" customFormat="false" ht="23.85" hidden="false" customHeight="false" outlineLevel="0" collapsed="false">
      <c r="A5" s="40" t="s">
        <v>245</v>
      </c>
      <c r="B5" s="41" t="n">
        <v>46043</v>
      </c>
      <c r="C5" s="42" t="s">
        <v>81</v>
      </c>
      <c r="D5" s="42" t="s">
        <v>85</v>
      </c>
      <c r="E5" s="42" t="s">
        <v>246</v>
      </c>
      <c r="F5" s="57" t="s">
        <v>180</v>
      </c>
      <c r="G5" s="61" t="s">
        <v>22</v>
      </c>
      <c r="H5" s="42" t="s">
        <v>72</v>
      </c>
      <c r="I5" s="60" t="n">
        <f aca="false">IFERROR(B5-VLOOKUP(D5,Events!A:B,2,FALSE()),"")</f>
        <v>89</v>
      </c>
      <c r="J5" s="54" t="str">
        <f aca="false">IFERROR(VLOOKUP(C5,Claims!A:D,4,FALSE()),"")</f>
        <v>Weekly staffing report due every Monday by 1200</v>
      </c>
    </row>
    <row r="6" customFormat="false" ht="23.85" hidden="false" customHeight="false" outlineLevel="0" collapsed="false">
      <c r="A6" s="35" t="s">
        <v>247</v>
      </c>
      <c r="B6" s="36" t="n">
        <v>45998</v>
      </c>
      <c r="C6" s="37" t="s">
        <v>86</v>
      </c>
      <c r="D6" s="37" t="s">
        <v>90</v>
      </c>
      <c r="E6" s="37" t="s">
        <v>248</v>
      </c>
      <c r="F6" s="56" t="s">
        <v>183</v>
      </c>
      <c r="G6" s="63" t="s">
        <v>19</v>
      </c>
      <c r="H6" s="37" t="s">
        <v>77</v>
      </c>
      <c r="I6" s="60" t="n">
        <f aca="false">IFERROR(B6-VLOOKUP(D6,Events!A:B,2,FALSE()),"")</f>
        <v>15</v>
      </c>
      <c r="J6" s="54" t="str">
        <f aca="false">IFERROR(VLOOKUP(C6,Claims!A:D,4,FALSE()),"")</f>
        <v>All personnel shall hold current security clearance at TS/SCI</v>
      </c>
    </row>
    <row r="7" customFormat="false" ht="23.85" hidden="false" customHeight="false" outlineLevel="0" collapsed="false">
      <c r="A7" s="40" t="s">
        <v>249</v>
      </c>
      <c r="B7" s="41" t="n">
        <v>46019</v>
      </c>
      <c r="C7" s="42" t="s">
        <v>91</v>
      </c>
      <c r="D7" s="42" t="s">
        <v>94</v>
      </c>
      <c r="E7" s="42" t="s">
        <v>250</v>
      </c>
      <c r="F7" s="57" t="s">
        <v>180</v>
      </c>
      <c r="G7" s="64" t="s">
        <v>15</v>
      </c>
      <c r="H7" s="42" t="s">
        <v>239</v>
      </c>
      <c r="I7" s="60" t="n">
        <f aca="false">IFERROR(B7-VLOOKUP(D7,Events!A:B,2,FALSE()),"")</f>
        <v>61</v>
      </c>
      <c r="J7" s="54" t="str">
        <f aca="false">IFERROR(VLOOKUP(C7,Claims!A:D,4,FALSE()),"")</f>
        <v>Help desk response time shall not exceed 15 minutes</v>
      </c>
    </row>
    <row r="8" customFormat="false" ht="23.85" hidden="false" customHeight="false" outlineLevel="0" collapsed="false">
      <c r="A8" s="35" t="s">
        <v>251</v>
      </c>
      <c r="B8" s="36" t="n">
        <v>46025</v>
      </c>
      <c r="C8" s="37" t="s">
        <v>95</v>
      </c>
      <c r="D8" s="37" t="s">
        <v>98</v>
      </c>
      <c r="E8" s="37" t="s">
        <v>252</v>
      </c>
      <c r="F8" s="53" t="s">
        <v>180</v>
      </c>
      <c r="G8" s="63" t="s">
        <v>22</v>
      </c>
      <c r="H8" s="37" t="s">
        <v>67</v>
      </c>
      <c r="I8" s="60" t="n">
        <f aca="false">IFERROR(B8-VLOOKUP(D8,Events!A:B,2,FALSE()),"")</f>
        <v>21</v>
      </c>
      <c r="J8" s="54" t="str">
        <f aca="false">IFERROR(VLOOKUP(C8,Claims!A:D,4,FALSE()),"")</f>
        <v>Quarterly program review briefing by 10th of quarter</v>
      </c>
    </row>
    <row r="9" customFormat="false" ht="23.85" hidden="false" customHeight="false" outlineLevel="0" collapsed="false">
      <c r="A9" s="40" t="s">
        <v>253</v>
      </c>
      <c r="B9" s="41" t="n">
        <v>46041</v>
      </c>
      <c r="C9" s="42" t="s">
        <v>99</v>
      </c>
      <c r="D9" s="42" t="s">
        <v>102</v>
      </c>
      <c r="E9" s="42" t="s">
        <v>254</v>
      </c>
      <c r="F9" s="57" t="s">
        <v>180</v>
      </c>
      <c r="G9" s="61" t="s">
        <v>19</v>
      </c>
      <c r="H9" s="42" t="s">
        <v>244</v>
      </c>
      <c r="I9" s="60" t="n">
        <f aca="false">IFERROR(B9-VLOOKUP(D9,Events!A:B,2,FALSE()),"")</f>
        <v>48</v>
      </c>
      <c r="J9" s="54" t="str">
        <f aca="false">IFERROR(VLOOKUP(C9,Claims!A:D,4,FALSE()),"")</f>
        <v>All code commits shall include unit test coverage above 80%</v>
      </c>
    </row>
    <row r="10" customFormat="false" ht="23.85" hidden="false" customHeight="false" outlineLevel="0" collapsed="false">
      <c r="A10" s="35" t="s">
        <v>255</v>
      </c>
      <c r="B10" s="36" t="n">
        <v>45980</v>
      </c>
      <c r="C10" s="37" t="s">
        <v>103</v>
      </c>
      <c r="D10" s="37" t="s">
        <v>106</v>
      </c>
      <c r="E10" s="37" t="s">
        <v>256</v>
      </c>
      <c r="F10" s="53" t="s">
        <v>180</v>
      </c>
      <c r="G10" s="63" t="s">
        <v>19</v>
      </c>
      <c r="H10" s="37" t="s">
        <v>72</v>
      </c>
      <c r="I10" s="60" t="n">
        <f aca="false">IFERROR(B10-VLOOKUP(D10,Events!A:B,2,FALSE()),"")</f>
        <v>0</v>
      </c>
      <c r="J10" s="54" t="str">
        <f aca="false">IFERROR(VLOOKUP(C10,Claims!A:D,4,FALSE()),"")</f>
        <v>Contractor shall provide 24/7 on-call support for critical systems</v>
      </c>
    </row>
    <row r="11" customFormat="false" ht="23.85" hidden="false" customHeight="false" outlineLevel="0" collapsed="false">
      <c r="A11" s="40" t="s">
        <v>257</v>
      </c>
      <c r="B11" s="41" t="n">
        <v>46030</v>
      </c>
      <c r="C11" s="42" t="s">
        <v>107</v>
      </c>
      <c r="D11" s="42" t="s">
        <v>110</v>
      </c>
      <c r="E11" s="42" t="s">
        <v>258</v>
      </c>
      <c r="F11" s="55" t="s">
        <v>183</v>
      </c>
      <c r="G11" s="61" t="s">
        <v>22</v>
      </c>
      <c r="H11" s="42" t="s">
        <v>77</v>
      </c>
      <c r="I11" s="60" t="n">
        <f aca="false">IFERROR(B11-VLOOKUP(D11,Events!A:B,2,FALSE()),"")</f>
        <v>63</v>
      </c>
      <c r="J11" s="54" t="str">
        <f aca="false">IFERROR(VLOOKUP(C11,Claims!A:D,4,FALSE()),"")</f>
        <v>Data backup completed nightly with verification log weekly</v>
      </c>
    </row>
    <row r="12" customFormat="false" ht="23.85" hidden="false" customHeight="false" outlineLevel="0" collapsed="false">
      <c r="A12" s="35" t="s">
        <v>259</v>
      </c>
      <c r="B12" s="36" t="n">
        <v>46037</v>
      </c>
      <c r="C12" s="37" t="s">
        <v>111</v>
      </c>
      <c r="D12" s="37" t="s">
        <v>114</v>
      </c>
      <c r="E12" s="37" t="s">
        <v>260</v>
      </c>
      <c r="F12" s="53" t="s">
        <v>180</v>
      </c>
      <c r="G12" s="53" t="s">
        <v>11</v>
      </c>
      <c r="H12" s="37" t="s">
        <v>239</v>
      </c>
      <c r="I12" s="60" t="n">
        <f aca="false">IFERROR(B12-VLOOKUP(D12,Events!A:B,2,FALSE()),"")</f>
        <v>71</v>
      </c>
      <c r="J12" s="54" t="str">
        <f aca="false">IFERROR(VLOOKUP(C12,Claims!A:D,4,FALSE()),"")</f>
        <v>Network monitoring dashboard updated real-time 5-min refresh</v>
      </c>
    </row>
    <row r="13" customFormat="false" ht="23.85" hidden="false" customHeight="false" outlineLevel="0" collapsed="false">
      <c r="A13" s="40" t="s">
        <v>261</v>
      </c>
      <c r="B13" s="41" t="n">
        <v>45963</v>
      </c>
      <c r="C13" s="42" t="s">
        <v>115</v>
      </c>
      <c r="D13" s="42" t="s">
        <v>118</v>
      </c>
      <c r="E13" s="42" t="s">
        <v>262</v>
      </c>
      <c r="F13" s="57" t="s">
        <v>180</v>
      </c>
      <c r="G13" s="64" t="s">
        <v>15</v>
      </c>
      <c r="H13" s="42" t="s">
        <v>67</v>
      </c>
      <c r="I13" s="60" t="n">
        <f aca="false">IFERROR(B13-VLOOKUP(D13,Events!A:B,2,FALSE()),"")</f>
        <v>-17</v>
      </c>
      <c r="J13" s="54" t="str">
        <f aca="false">IFERROR(VLOOKUP(C13,Claims!A:D,4,FALSE()),"")</f>
        <v>Incident response initiated within 30 minutes of detection</v>
      </c>
    </row>
    <row r="14" customFormat="false" ht="23.85" hidden="false" customHeight="false" outlineLevel="0" collapsed="false">
      <c r="A14" s="35" t="s">
        <v>263</v>
      </c>
      <c r="B14" s="36" t="n">
        <v>46000</v>
      </c>
      <c r="C14" s="37" t="s">
        <v>119</v>
      </c>
      <c r="D14" s="37" t="s">
        <v>122</v>
      </c>
      <c r="E14" s="37" t="s">
        <v>264</v>
      </c>
      <c r="F14" s="53" t="s">
        <v>180</v>
      </c>
      <c r="G14" s="63" t="s">
        <v>22</v>
      </c>
      <c r="H14" s="37" t="s">
        <v>244</v>
      </c>
      <c r="I14" s="60" t="n">
        <f aca="false">IFERROR(B14-VLOOKUP(D14,Events!A:B,2,FALSE()),"")</f>
        <v>13</v>
      </c>
      <c r="J14" s="54" t="str">
        <f aca="false">IFERROR(VLOOKUP(C14,Claims!A:D,4,FALSE()),"")</f>
        <v>All documentation per DI-MGMT-81466</v>
      </c>
    </row>
    <row r="15" customFormat="false" ht="23.85" hidden="false" customHeight="false" outlineLevel="0" collapsed="false">
      <c r="A15" s="40" t="s">
        <v>265</v>
      </c>
      <c r="B15" s="41" t="n">
        <v>45991</v>
      </c>
      <c r="C15" s="42" t="s">
        <v>123</v>
      </c>
      <c r="D15" s="42" t="s">
        <v>126</v>
      </c>
      <c r="E15" s="42" t="s">
        <v>266</v>
      </c>
      <c r="F15" s="55" t="s">
        <v>183</v>
      </c>
      <c r="G15" s="61" t="s">
        <v>22</v>
      </c>
      <c r="H15" s="42" t="s">
        <v>72</v>
      </c>
      <c r="I15" s="60" t="n">
        <f aca="false">IFERROR(B15-VLOOKUP(D15,Events!A:B,2,FALSE()),"")</f>
        <v>41</v>
      </c>
      <c r="J15" s="54" t="str">
        <f aca="false">IFERROR(VLOOKUP(C15,Claims!A:D,4,FALSE()),"")</f>
        <v>Training materials updated within 30 days of system change</v>
      </c>
    </row>
    <row r="16" customFormat="false" ht="23.85" hidden="false" customHeight="false" outlineLevel="0" collapsed="false">
      <c r="A16" s="35" t="s">
        <v>267</v>
      </c>
      <c r="B16" s="36" t="n">
        <v>45971</v>
      </c>
      <c r="C16" s="37" t="s">
        <v>127</v>
      </c>
      <c r="D16" s="37" t="s">
        <v>130</v>
      </c>
      <c r="E16" s="37" t="s">
        <v>268</v>
      </c>
      <c r="F16" s="56" t="s">
        <v>183</v>
      </c>
      <c r="G16" s="63" t="s">
        <v>22</v>
      </c>
      <c r="H16" s="37" t="s">
        <v>77</v>
      </c>
      <c r="I16" s="60" t="n">
        <f aca="false">IFERROR(B16-VLOOKUP(D16,Events!A:B,2,FALSE()),"")</f>
        <v>-9</v>
      </c>
      <c r="J16" s="54" t="str">
        <f aca="false">IFERROR(VLOOKUP(C16,Claims!A:D,4,FALSE()),"")</f>
        <v>Transition plan delivered 90 days before PoP end</v>
      </c>
    </row>
    <row r="17" customFormat="false" ht="23.85" hidden="false" customHeight="false" outlineLevel="0" collapsed="false">
      <c r="A17" s="40" t="s">
        <v>269</v>
      </c>
      <c r="B17" s="41" t="n">
        <v>46029</v>
      </c>
      <c r="C17" s="42" t="s">
        <v>131</v>
      </c>
      <c r="D17" s="42" t="s">
        <v>133</v>
      </c>
      <c r="E17" s="42" t="s">
        <v>270</v>
      </c>
      <c r="F17" s="57" t="s">
        <v>180</v>
      </c>
      <c r="G17" s="61" t="s">
        <v>19</v>
      </c>
      <c r="H17" s="42" t="s">
        <v>239</v>
      </c>
      <c r="I17" s="60" t="n">
        <f aca="false">IFERROR(B17-VLOOKUP(D17,Events!A:B,2,FALSE()),"")</f>
        <v>11</v>
      </c>
      <c r="J17" s="54" t="str">
        <f aca="false">IFERROR(VLOOKUP(C17,Claims!A:D,4,FALSE()),"")</f>
        <v>Comply with NIST 800-171 requirements</v>
      </c>
    </row>
    <row r="18" customFormat="false" ht="23.85" hidden="false" customHeight="false" outlineLevel="0" collapsed="false">
      <c r="A18" s="35" t="s">
        <v>271</v>
      </c>
      <c r="B18" s="36" t="n">
        <v>46045</v>
      </c>
      <c r="C18" s="37" t="s">
        <v>134</v>
      </c>
      <c r="D18" s="37" t="s">
        <v>136</v>
      </c>
      <c r="E18" s="37" t="s">
        <v>272</v>
      </c>
      <c r="F18" s="56" t="s">
        <v>183</v>
      </c>
      <c r="G18" s="63" t="s">
        <v>19</v>
      </c>
      <c r="H18" s="37" t="s">
        <v>67</v>
      </c>
      <c r="I18" s="60" t="n">
        <f aca="false">IFERROR(B18-VLOOKUP(D18,Events!A:B,2,FALSE()),"")</f>
        <v>36</v>
      </c>
      <c r="J18" s="54" t="str">
        <f aca="false">IFERROR(VLOOKUP(C18,Claims!A:D,4,FALSE()),"")</f>
        <v>Configuration management plan maintained and current</v>
      </c>
    </row>
    <row r="19" customFormat="false" ht="23.85" hidden="false" customHeight="false" outlineLevel="0" collapsed="false">
      <c r="A19" s="40" t="s">
        <v>273</v>
      </c>
      <c r="B19" s="41" t="n">
        <v>45994</v>
      </c>
      <c r="C19" s="42" t="s">
        <v>137</v>
      </c>
      <c r="D19" s="42" t="s">
        <v>139</v>
      </c>
      <c r="E19" s="42" t="s">
        <v>274</v>
      </c>
      <c r="F19" s="55" t="s">
        <v>183</v>
      </c>
      <c r="G19" s="57" t="s">
        <v>11</v>
      </c>
      <c r="H19" s="42" t="s">
        <v>244</v>
      </c>
      <c r="I19" s="60" t="n">
        <f aca="false">IFERROR(B19-VLOOKUP(D19,Events!A:B,2,FALSE()),"")</f>
        <v>30</v>
      </c>
      <c r="J19" s="54" t="str">
        <f aca="false">IFERROR(VLOOKUP(C19,Claims!A:D,4,FALSE()),"")</f>
        <v>System patches applied within 72 hours for critical CVEs</v>
      </c>
    </row>
    <row r="20" customFormat="false" ht="23.85" hidden="false" customHeight="false" outlineLevel="0" collapsed="false">
      <c r="A20" s="35" t="s">
        <v>275</v>
      </c>
      <c r="B20" s="36" t="n">
        <v>45988</v>
      </c>
      <c r="C20" s="37" t="s">
        <v>140</v>
      </c>
      <c r="D20" s="37" t="s">
        <v>142</v>
      </c>
      <c r="E20" s="37" t="s">
        <v>276</v>
      </c>
      <c r="F20" s="56" t="s">
        <v>183</v>
      </c>
      <c r="G20" s="63" t="s">
        <v>19</v>
      </c>
      <c r="H20" s="37" t="s">
        <v>72</v>
      </c>
      <c r="I20" s="60" t="n">
        <f aca="false">IFERROR(B20-VLOOKUP(D20,Events!A:B,2,FALSE()),"")</f>
        <v>11</v>
      </c>
      <c r="J20" s="54" t="str">
        <f aca="false">IFERROR(VLOOKUP(C20,Claims!A:D,4,FALSE()),"")</f>
        <v>All travel requires prior written COR approval</v>
      </c>
    </row>
    <row r="21" customFormat="false" ht="23.85" hidden="false" customHeight="false" outlineLevel="0" collapsed="false">
      <c r="A21" s="40" t="s">
        <v>277</v>
      </c>
      <c r="B21" s="41" t="n">
        <v>46000</v>
      </c>
      <c r="C21" s="42" t="s">
        <v>143</v>
      </c>
      <c r="D21" s="42" t="s">
        <v>145</v>
      </c>
      <c r="E21" s="42" t="s">
        <v>278</v>
      </c>
      <c r="F21" s="55" t="s">
        <v>183</v>
      </c>
      <c r="G21" s="64" t="s">
        <v>15</v>
      </c>
      <c r="H21" s="42" t="s">
        <v>77</v>
      </c>
      <c r="I21" s="60" t="n">
        <f aca="false">IFERROR(B21-VLOOKUP(D21,Events!A:B,2,FALSE()),"")</f>
        <v>21</v>
      </c>
      <c r="J21" s="54" t="str">
        <f aca="false">IFERROR(VLOOKUP(C21,Claims!A:D,4,FALSE()),"")</f>
        <v>Monthly financial report with cost/burn-rate by 10th</v>
      </c>
    </row>
  </sheetData>
  <autoFilter ref="A1:J21"/>
  <conditionalFormatting sqref="F2:F21">
    <cfRule type="expression" priority="2" aboveAverage="0" equalAverage="0" bottom="0" percent="0" rank="0" text="" dxfId="18">
      <formula>AND(F2="Y",TODAY()-B2&gt;14)</formula>
    </cfRule>
  </conditionalFormatting>
  <dataValidations count="4">
    <dataValidation allowBlank="true" errorStyle="stop" operator="between" showDropDown="false" showErrorMessage="false" showInputMessage="false" sqref="C2:C1000" type="list">
      <formula1>Claims!$A$2:$A$31</formula1>
      <formula2>0</formula2>
    </dataValidation>
    <dataValidation allowBlank="true" errorStyle="stop" operator="between" showDropDown="false" showErrorMessage="false" showInputMessage="false" sqref="D2:D1000" type="list">
      <formula1>Events!$A$2:$A$26</formula1>
      <formula2>0</formula2>
    </dataValidation>
    <dataValidation allowBlank="true" errorStyle="stop" operator="between" showDropDown="false" showErrorMessage="false" showInputMessage="false" sqref="F2:F1000" type="list">
      <formula1>"Y,N"</formula1>
      <formula2>0</formula2>
    </dataValidation>
    <dataValidation allowBlank="true" errorStyle="stop" operator="between" showDropDown="false" showErrorMessage="false" showInputMessage="false" sqref="G2:G1000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E676"/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50"/>
    <col collapsed="false" customWidth="true" hidden="false" outlineLevel="0" max="6" min="6" style="0" width="35"/>
    <col collapsed="false" customWidth="true" hidden="false" outlineLevel="0" max="7" min="7" style="0" width="22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40"/>
  </cols>
  <sheetData>
    <row r="1" customFormat="false" ht="15" hidden="false" customHeight="false" outlineLevel="0" collapsed="false">
      <c r="A1" s="65" t="s">
        <v>279</v>
      </c>
      <c r="B1" s="65" t="s">
        <v>59</v>
      </c>
      <c r="C1" s="65" t="s">
        <v>230</v>
      </c>
      <c r="D1" s="65" t="s">
        <v>58</v>
      </c>
      <c r="E1" s="65" t="s">
        <v>280</v>
      </c>
      <c r="F1" s="65" t="s">
        <v>281</v>
      </c>
      <c r="G1" s="65" t="s">
        <v>282</v>
      </c>
      <c r="H1" s="65" t="s">
        <v>63</v>
      </c>
      <c r="I1" s="66" t="s">
        <v>283</v>
      </c>
      <c r="J1" s="66" t="s">
        <v>284</v>
      </c>
    </row>
    <row r="2" customFormat="false" ht="23.85" hidden="false" customHeight="false" outlineLevel="0" collapsed="false">
      <c r="A2" s="35" t="s">
        <v>285</v>
      </c>
      <c r="B2" s="36" t="n">
        <v>46022</v>
      </c>
      <c r="C2" s="37" t="s">
        <v>237</v>
      </c>
      <c r="D2" s="37" t="s">
        <v>66</v>
      </c>
      <c r="E2" s="37" t="s">
        <v>286</v>
      </c>
      <c r="F2" s="37" t="s">
        <v>287</v>
      </c>
      <c r="G2" s="37" t="s">
        <v>82</v>
      </c>
      <c r="H2" s="67" t="s">
        <v>5</v>
      </c>
      <c r="I2" s="60" t="n">
        <f aca="false">IFERROR(B2-VLOOKUP(C2,Reviews!A:B,2,FALSE()),"")</f>
        <v>12</v>
      </c>
      <c r="J2" s="54" t="str">
        <f aca="false">IFERROR(VLOOKUP(C2,Reviews!A:E,5,FALSE()),"")</f>
        <v>Drift confirmed: 3 of 4 reports late. Pattern.</v>
      </c>
    </row>
    <row r="3" customFormat="false" ht="23.85" hidden="false" customHeight="false" outlineLevel="0" collapsed="false">
      <c r="A3" s="40" t="s">
        <v>288</v>
      </c>
      <c r="B3" s="41" t="n">
        <v>46023</v>
      </c>
      <c r="C3" s="42" t="s">
        <v>240</v>
      </c>
      <c r="D3" s="42" t="s">
        <v>71</v>
      </c>
      <c r="E3" s="42" t="s">
        <v>289</v>
      </c>
      <c r="F3" s="42" t="s">
        <v>290</v>
      </c>
      <c r="G3" s="42" t="s">
        <v>77</v>
      </c>
      <c r="H3" s="57" t="s">
        <v>18</v>
      </c>
      <c r="I3" s="60" t="n">
        <f aca="false">IFERROR(B3-VLOOKUP(C3,Reviews!A:B,2,FALSE()),"")</f>
        <v>-5</v>
      </c>
      <c r="J3" s="54" t="str">
        <f aca="false">IFERROR(VLOOKUP(C3,Reviews!A:E,5,FALSE()),"")</f>
        <v>Security findings Critical. Cannot accept deliverable.</v>
      </c>
    </row>
    <row r="4" customFormat="false" ht="23.85" hidden="false" customHeight="false" outlineLevel="0" collapsed="false">
      <c r="A4" s="35" t="s">
        <v>291</v>
      </c>
      <c r="B4" s="36" t="n">
        <v>45997</v>
      </c>
      <c r="C4" s="37" t="s">
        <v>242</v>
      </c>
      <c r="D4" s="37" t="s">
        <v>76</v>
      </c>
      <c r="E4" s="37" t="s">
        <v>292</v>
      </c>
      <c r="F4" s="37" t="s">
        <v>293</v>
      </c>
      <c r="G4" s="37" t="s">
        <v>294</v>
      </c>
      <c r="H4" s="68" t="s">
        <v>14</v>
      </c>
      <c r="I4" s="60" t="n">
        <f aca="false">IFERROR(B4-VLOOKUP(C4,Reviews!A:B,2,FALSE()),"")</f>
        <v>-51</v>
      </c>
      <c r="J4" s="54" t="str">
        <f aca="false">IFERROR(VLOOKUP(C4,Reviews!A:E,5,FALSE()),"")</f>
        <v>Uptime below threshold 2 consecutive months. Systemic.</v>
      </c>
    </row>
    <row r="5" customFormat="false" ht="23.85" hidden="false" customHeight="false" outlineLevel="0" collapsed="false">
      <c r="A5" s="40" t="s">
        <v>295</v>
      </c>
      <c r="B5" s="41" t="n">
        <v>45974</v>
      </c>
      <c r="C5" s="42" t="s">
        <v>245</v>
      </c>
      <c r="D5" s="42" t="s">
        <v>81</v>
      </c>
      <c r="E5" s="42" t="s">
        <v>296</v>
      </c>
      <c r="F5" s="42" t="s">
        <v>297</v>
      </c>
      <c r="G5" s="42" t="s">
        <v>82</v>
      </c>
      <c r="H5" s="69" t="s">
        <v>14</v>
      </c>
      <c r="I5" s="60" t="n">
        <f aca="false">IFERROR(B5-VLOOKUP(C5,Reviews!A:B,2,FALSE()),"")</f>
        <v>-69</v>
      </c>
      <c r="J5" s="54" t="str">
        <f aca="false">IFERROR(VLOOKUP(C5,Reviews!A:E,5,FALSE()),"")</f>
        <v>Minor deviation. Verbal counseling. Monitor 4 weeks.</v>
      </c>
    </row>
    <row r="6" customFormat="false" ht="23.85" hidden="false" customHeight="false" outlineLevel="0" collapsed="false">
      <c r="A6" s="35" t="s">
        <v>298</v>
      </c>
      <c r="B6" s="36" t="n">
        <v>45968</v>
      </c>
      <c r="C6" s="37" t="s">
        <v>247</v>
      </c>
      <c r="D6" s="37" t="s">
        <v>86</v>
      </c>
      <c r="E6" s="37" t="s">
        <v>299</v>
      </c>
      <c r="F6" s="37" t="s">
        <v>300</v>
      </c>
      <c r="G6" s="37" t="s">
        <v>82</v>
      </c>
      <c r="H6" s="67" t="s">
        <v>5</v>
      </c>
      <c r="I6" s="60" t="n">
        <f aca="false">IFERROR(B6-VLOOKUP(C6,Reviews!A:B,2,FALSE()),"")</f>
        <v>-30</v>
      </c>
      <c r="J6" s="54" t="str">
        <f aca="false">IFERROR(VLOOKUP(C6,Reviews!A:E,5,FALSE()),"")</f>
        <v>Clearance gap: immediate risk. Cannot access SCIF.</v>
      </c>
    </row>
    <row r="7" customFormat="false" ht="23.85" hidden="false" customHeight="false" outlineLevel="0" collapsed="false">
      <c r="A7" s="40" t="s">
        <v>301</v>
      </c>
      <c r="B7" s="41" t="n">
        <v>46036</v>
      </c>
      <c r="C7" s="42" t="s">
        <v>249</v>
      </c>
      <c r="D7" s="42" t="s">
        <v>91</v>
      </c>
      <c r="E7" s="42" t="s">
        <v>302</v>
      </c>
      <c r="F7" s="42" t="s">
        <v>303</v>
      </c>
      <c r="G7" s="42" t="s">
        <v>77</v>
      </c>
      <c r="H7" s="69" t="s">
        <v>14</v>
      </c>
      <c r="I7" s="60" t="n">
        <f aca="false">IFERROR(B7-VLOOKUP(C7,Reviews!A:B,2,FALSE()),"")</f>
        <v>17</v>
      </c>
      <c r="J7" s="54" t="str">
        <f aca="false">IFERROR(VLOOKUP(C7,Reviews!A:E,5,FALSE()),"")</f>
        <v>SLA breach: 5 of 8 weeks exceeded. Not isolated.</v>
      </c>
    </row>
    <row r="8" customFormat="false" ht="23.85" hidden="false" customHeight="false" outlineLevel="0" collapsed="false">
      <c r="A8" s="35" t="s">
        <v>304</v>
      </c>
      <c r="B8" s="36" t="n">
        <v>46041</v>
      </c>
      <c r="C8" s="37" t="s">
        <v>251</v>
      </c>
      <c r="D8" s="37" t="s">
        <v>95</v>
      </c>
      <c r="E8" s="37" t="s">
        <v>305</v>
      </c>
      <c r="F8" s="37" t="s">
        <v>306</v>
      </c>
      <c r="G8" s="37" t="s">
        <v>294</v>
      </c>
      <c r="H8" s="68" t="s">
        <v>14</v>
      </c>
      <c r="I8" s="60" t="n">
        <f aca="false">IFERROR(B8-VLOOKUP(C8,Reviews!A:B,2,FALSE()),"")</f>
        <v>16</v>
      </c>
      <c r="J8" s="54" t="str">
        <f aca="false">IFERROR(VLOOKUP(C8,Reviews!A:E,5,FALSE()),"")</f>
        <v>Content adequate. Delivery format needs improvement.</v>
      </c>
    </row>
    <row r="9" customFormat="false" ht="23.85" hidden="false" customHeight="false" outlineLevel="0" collapsed="false">
      <c r="A9" s="40" t="s">
        <v>307</v>
      </c>
      <c r="B9" s="41" t="n">
        <v>45966</v>
      </c>
      <c r="C9" s="42" t="s">
        <v>253</v>
      </c>
      <c r="D9" s="42" t="s">
        <v>99</v>
      </c>
      <c r="E9" s="42" t="s">
        <v>308</v>
      </c>
      <c r="F9" s="42" t="s">
        <v>309</v>
      </c>
      <c r="G9" s="42" t="s">
        <v>82</v>
      </c>
      <c r="H9" s="57" t="s">
        <v>18</v>
      </c>
      <c r="I9" s="60" t="n">
        <f aca="false">IFERROR(B9-VLOOKUP(C9,Reviews!A:B,2,FALSE()),"")</f>
        <v>-75</v>
      </c>
      <c r="J9" s="54" t="str">
        <f aca="false">IFERROR(VLOOKUP(C9,Reviews!A:E,5,FALSE()),"")</f>
        <v>Coverage deficit is quality risk. Cannot accept.</v>
      </c>
    </row>
    <row r="10" customFormat="false" ht="23.85" hidden="false" customHeight="false" outlineLevel="0" collapsed="false">
      <c r="A10" s="35" t="s">
        <v>310</v>
      </c>
      <c r="B10" s="36" t="n">
        <v>46056</v>
      </c>
      <c r="C10" s="37" t="s">
        <v>255</v>
      </c>
      <c r="D10" s="37" t="s">
        <v>103</v>
      </c>
      <c r="E10" s="37" t="s">
        <v>311</v>
      </c>
      <c r="F10" s="37" t="s">
        <v>312</v>
      </c>
      <c r="G10" s="37" t="s">
        <v>82</v>
      </c>
      <c r="H10" s="67" t="s">
        <v>5</v>
      </c>
      <c r="I10" s="60" t="n">
        <f aca="false">IFERROR(B10-VLOOKUP(C10,Reviews!A:B,2,FALSE()),"")</f>
        <v>76</v>
      </c>
      <c r="J10" s="54" t="str">
        <f aca="false">IFERROR(VLOOKUP(C10,Reviews!A:E,5,FALSE()),"")</f>
        <v>On-call failure during Sev 1: critical performance issue.</v>
      </c>
    </row>
    <row r="11" customFormat="false" ht="23.85" hidden="false" customHeight="false" outlineLevel="0" collapsed="false">
      <c r="A11" s="40" t="s">
        <v>313</v>
      </c>
      <c r="B11" s="41" t="n">
        <v>45973</v>
      </c>
      <c r="C11" s="42" t="s">
        <v>257</v>
      </c>
      <c r="D11" s="42" t="s">
        <v>107</v>
      </c>
      <c r="E11" s="42" t="s">
        <v>314</v>
      </c>
      <c r="F11" s="42" t="s">
        <v>315</v>
      </c>
      <c r="G11" s="42" t="s">
        <v>77</v>
      </c>
      <c r="H11" s="69" t="s">
        <v>14</v>
      </c>
      <c r="I11" s="60" t="n">
        <f aca="false">IFERROR(B11-VLOOKUP(C11,Reviews!A:B,2,FALSE()),"")</f>
        <v>-57</v>
      </c>
      <c r="J11" s="54" t="str">
        <f aca="false">IFERROR(VLOOKUP(C11,Reviews!A:E,5,FALSE()),"")</f>
        <v>Backup failures: data loss risk. Corrective action required.</v>
      </c>
    </row>
    <row r="12" customFormat="false" ht="23.85" hidden="false" customHeight="false" outlineLevel="0" collapsed="false">
      <c r="A12" s="35" t="s">
        <v>316</v>
      </c>
      <c r="B12" s="36" t="n">
        <v>45974</v>
      </c>
      <c r="C12" s="37" t="s">
        <v>259</v>
      </c>
      <c r="D12" s="37" t="s">
        <v>111</v>
      </c>
      <c r="E12" s="37" t="s">
        <v>317</v>
      </c>
      <c r="F12" s="37" t="s">
        <v>318</v>
      </c>
      <c r="G12" s="37" t="s">
        <v>294</v>
      </c>
      <c r="H12" s="53" t="s">
        <v>18</v>
      </c>
      <c r="I12" s="60" t="n">
        <f aca="false">IFERROR(B12-VLOOKUP(C12,Reviews!A:B,2,FALSE()),"")</f>
        <v>-63</v>
      </c>
      <c r="J12" s="54" t="str">
        <f aca="false">IFERROR(VLOOKUP(C12,Reviews!A:E,5,FALSE()),"")</f>
        <v>Dashboard gap acceptable during maintenance.</v>
      </c>
    </row>
    <row r="13" customFormat="false" ht="23.85" hidden="false" customHeight="false" outlineLevel="0" collapsed="false">
      <c r="A13" s="40" t="s">
        <v>319</v>
      </c>
      <c r="B13" s="41" t="n">
        <v>46008</v>
      </c>
      <c r="C13" s="42" t="s">
        <v>261</v>
      </c>
      <c r="D13" s="42" t="s">
        <v>115</v>
      </c>
      <c r="E13" s="42" t="s">
        <v>320</v>
      </c>
      <c r="F13" s="42" t="s">
        <v>321</v>
      </c>
      <c r="G13" s="42" t="s">
        <v>82</v>
      </c>
      <c r="H13" s="57" t="s">
        <v>18</v>
      </c>
      <c r="I13" s="60" t="n">
        <f aca="false">IFERROR(B13-VLOOKUP(C13,Reviews!A:B,2,FALSE()),"")</f>
        <v>45</v>
      </c>
      <c r="J13" s="54" t="str">
        <f aca="false">IFERROR(VLOOKUP(C13,Reviews!A:E,5,FALSE()),"")</f>
        <v>Response time failure: critical. Playbook not followed.</v>
      </c>
    </row>
    <row r="14" customFormat="false" ht="23.85" hidden="false" customHeight="false" outlineLevel="0" collapsed="false">
      <c r="A14" s="35" t="s">
        <v>322</v>
      </c>
      <c r="B14" s="36" t="n">
        <v>46031</v>
      </c>
      <c r="C14" s="37" t="s">
        <v>263</v>
      </c>
      <c r="D14" s="37" t="s">
        <v>119</v>
      </c>
      <c r="E14" s="37" t="s">
        <v>323</v>
      </c>
      <c r="F14" s="37" t="s">
        <v>324</v>
      </c>
      <c r="G14" s="37" t="s">
        <v>82</v>
      </c>
      <c r="H14" s="68" t="s">
        <v>14</v>
      </c>
      <c r="I14" s="60" t="n">
        <f aca="false">IFERROR(B14-VLOOKUP(C14,Reviews!A:B,2,FALSE()),"")</f>
        <v>31</v>
      </c>
      <c r="J14" s="54" t="str">
        <f aca="false">IFERROR(VLOOKUP(C14,Reviews!A:E,5,FALSE()),"")</f>
        <v>Format non-conformance correctable. Issue COR direction.</v>
      </c>
    </row>
    <row r="15" customFormat="false" ht="23.85" hidden="false" customHeight="false" outlineLevel="0" collapsed="false">
      <c r="A15" s="40" t="s">
        <v>325</v>
      </c>
      <c r="B15" s="41" t="n">
        <v>46001</v>
      </c>
      <c r="C15" s="42" t="s">
        <v>265</v>
      </c>
      <c r="D15" s="42" t="s">
        <v>123</v>
      </c>
      <c r="E15" s="42" t="s">
        <v>326</v>
      </c>
      <c r="F15" s="42" t="s">
        <v>327</v>
      </c>
      <c r="G15" s="42" t="s">
        <v>77</v>
      </c>
      <c r="H15" s="70" t="s">
        <v>5</v>
      </c>
      <c r="I15" s="60" t="n">
        <f aca="false">IFERROR(B15-VLOOKUP(C15,Reviews!A:B,2,FALSE()),"")</f>
        <v>10</v>
      </c>
      <c r="J15" s="54" t="str">
        <f aca="false">IFERROR(VLOOKUP(C15,Reviews!A:E,5,FALSE()),"")</f>
        <v>Outdated training: operational risk. Immediate update.</v>
      </c>
    </row>
    <row r="16" customFormat="false" ht="23.85" hidden="false" customHeight="false" outlineLevel="0" collapsed="false">
      <c r="A16" s="35" t="s">
        <v>328</v>
      </c>
      <c r="B16" s="36" t="n">
        <v>46028</v>
      </c>
      <c r="C16" s="37" t="s">
        <v>267</v>
      </c>
      <c r="D16" s="37" t="s">
        <v>127</v>
      </c>
      <c r="E16" s="37" t="s">
        <v>329</v>
      </c>
      <c r="F16" s="37" t="s">
        <v>330</v>
      </c>
      <c r="G16" s="37" t="s">
        <v>294</v>
      </c>
      <c r="H16" s="68" t="s">
        <v>14</v>
      </c>
      <c r="I16" s="60" t="n">
        <f aca="false">IFERROR(B16-VLOOKUP(C16,Reviews!A:B,2,FALSE()),"")</f>
        <v>57</v>
      </c>
      <c r="J16" s="54" t="str">
        <f aca="false">IFERROR(VLOOKUP(C16,Reviews!A:E,5,FALSE()),"")</f>
        <v>Late delivery within tolerance. Issue verbal notice.</v>
      </c>
    </row>
  </sheetData>
  <autoFilter ref="A1:J16"/>
  <conditionalFormatting sqref="H2:H16">
    <cfRule type="expression" priority="2" aboveAverage="0" equalAverage="0" bottom="0" percent="0" rank="0" text="" dxfId="11">
      <formula>AND(H2="Pending",TODAY()-B2&gt;7)</formula>
    </cfRule>
  </conditionalFormatting>
  <dataValidations count="3">
    <dataValidation allowBlank="true" errorStyle="stop" operator="between" showDropDown="false" showErrorMessage="false" showInputMessage="false" sqref="C2:C1000" type="list">
      <formula1>Reviews!$A$2:$A$21</formula1>
      <formula2>0</formula2>
    </dataValidation>
    <dataValidation allowBlank="true" errorStyle="stop" operator="between" showDropDown="false" showErrorMessage="false" showInputMessage="false" sqref="D2:D1000" type="list">
      <formula1>Claims!$A$2:$A$31</formula1>
      <formula2>0</formula2>
    </dataValidation>
    <dataValidation allowBlank="true" errorStyle="stop" operator="between" showDropDown="false" showErrorMessage="false" showInputMessage="false" sqref="H2:H1000" type="list">
      <formula1>"Pending,Approved,Applied"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800"/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60"/>
    <col collapsed="false" customWidth="true" hidden="false" outlineLevel="0" max="6" min="6" style="0" width="38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40"/>
  </cols>
  <sheetData>
    <row r="1" customFormat="false" ht="15" hidden="false" customHeight="false" outlineLevel="0" collapsed="false">
      <c r="A1" s="71" t="s">
        <v>331</v>
      </c>
      <c r="B1" s="71" t="s">
        <v>59</v>
      </c>
      <c r="C1" s="71" t="s">
        <v>279</v>
      </c>
      <c r="D1" s="71" t="s">
        <v>58</v>
      </c>
      <c r="E1" s="71" t="s">
        <v>332</v>
      </c>
      <c r="F1" s="71" t="s">
        <v>174</v>
      </c>
      <c r="G1" s="71" t="s">
        <v>333</v>
      </c>
      <c r="H1" s="72" t="s">
        <v>334</v>
      </c>
      <c r="I1" s="72" t="s">
        <v>335</v>
      </c>
    </row>
    <row r="2" customFormat="false" ht="23.85" hidden="false" customHeight="false" outlineLevel="0" collapsed="false">
      <c r="A2" s="35" t="s">
        <v>336</v>
      </c>
      <c r="B2" s="36" t="n">
        <v>46045</v>
      </c>
      <c r="C2" s="37" t="s">
        <v>285</v>
      </c>
      <c r="D2" s="37" t="s">
        <v>66</v>
      </c>
      <c r="E2" s="37" t="s">
        <v>337</v>
      </c>
      <c r="F2" s="37" t="s">
        <v>338</v>
      </c>
      <c r="G2" s="37" t="s">
        <v>67</v>
      </c>
      <c r="H2" s="60" t="n">
        <f aca="false">IFERROR(B2-VLOOKUP(C2,Patches!A:B,2,FALSE()),"")</f>
        <v>23</v>
      </c>
      <c r="I2" s="54" t="str">
        <f aca="false">IFERROR(VLOOKUP(C2,Patches!A:E,5,FALSE()),"")</f>
        <v>COR letter: contractor submit CAP by April 15</v>
      </c>
    </row>
    <row r="3" customFormat="false" ht="23.85" hidden="false" customHeight="false" outlineLevel="0" collapsed="false">
      <c r="A3" s="40" t="s">
        <v>339</v>
      </c>
      <c r="B3" s="41" t="n">
        <v>46068</v>
      </c>
      <c r="C3" s="42" t="s">
        <v>288</v>
      </c>
      <c r="D3" s="42" t="s">
        <v>71</v>
      </c>
      <c r="E3" s="42" t="s">
        <v>340</v>
      </c>
      <c r="F3" s="42" t="s">
        <v>341</v>
      </c>
      <c r="G3" s="42" t="s">
        <v>77</v>
      </c>
      <c r="H3" s="60" t="n">
        <f aca="false">IFERROR(B3-VLOOKUP(C3,Patches!A:B,2,FALSE()),"")</f>
        <v>45</v>
      </c>
      <c r="I3" s="54" t="str">
        <f aca="false">IFERROR(VLOOKUP(C3,Patches!A:E,5,FALSE()),"")</f>
        <v>Deliverable returned. Remediate 3 Critical, resubmit.</v>
      </c>
    </row>
    <row r="4" customFormat="false" ht="23.85" hidden="false" customHeight="false" outlineLevel="0" collapsed="false">
      <c r="A4" s="35" t="s">
        <v>342</v>
      </c>
      <c r="B4" s="36" t="n">
        <v>46049</v>
      </c>
      <c r="C4" s="37" t="s">
        <v>291</v>
      </c>
      <c r="D4" s="37" t="s">
        <v>76</v>
      </c>
      <c r="E4" s="37" t="s">
        <v>343</v>
      </c>
      <c r="F4" s="37" t="s">
        <v>344</v>
      </c>
      <c r="G4" s="37" t="s">
        <v>72</v>
      </c>
      <c r="H4" s="60" t="n">
        <f aca="false">IFERROR(B4-VLOOKUP(C4,Patches!A:B,2,FALSE()),"")</f>
        <v>52</v>
      </c>
      <c r="I4" s="54" t="str">
        <f aca="false">IFERROR(VLOOKUP(C4,Patches!A:E,5,FALSE()),"")</f>
        <v>PIP required within 14 days. Monitor 2 months.</v>
      </c>
    </row>
    <row r="5" customFormat="false" ht="23.85" hidden="false" customHeight="false" outlineLevel="0" collapsed="false">
      <c r="A5" s="40" t="s">
        <v>345</v>
      </c>
      <c r="B5" s="41" t="n">
        <v>46007</v>
      </c>
      <c r="C5" s="42" t="s">
        <v>295</v>
      </c>
      <c r="D5" s="42" t="s">
        <v>81</v>
      </c>
      <c r="E5" s="42" t="s">
        <v>346</v>
      </c>
      <c r="F5" s="42" t="s">
        <v>347</v>
      </c>
      <c r="G5" s="42" t="s">
        <v>72</v>
      </c>
      <c r="H5" s="60" t="n">
        <f aca="false">IFERROR(B5-VLOOKUP(C5,Patches!A:B,2,FALSE()),"")</f>
        <v>33</v>
      </c>
      <c r="I5" s="54" t="str">
        <f aca="false">IFERROR(VLOOKUP(C5,Patches!A:E,5,FALSE()),"")</f>
        <v>Verbal counseling documented. No formal action.</v>
      </c>
    </row>
    <row r="6" customFormat="false" ht="23.85" hidden="false" customHeight="false" outlineLevel="0" collapsed="false">
      <c r="A6" s="35" t="s">
        <v>348</v>
      </c>
      <c r="B6" s="36" t="n">
        <v>46079</v>
      </c>
      <c r="C6" s="37" t="s">
        <v>298</v>
      </c>
      <c r="D6" s="37" t="s">
        <v>86</v>
      </c>
      <c r="E6" s="37" t="s">
        <v>349</v>
      </c>
      <c r="F6" s="37" t="s">
        <v>350</v>
      </c>
      <c r="G6" s="37" t="s">
        <v>72</v>
      </c>
      <c r="H6" s="60" t="n">
        <f aca="false">IFERROR(B6-VLOOKUP(C6,Patches!A:B,2,FALSE()),"")</f>
        <v>111</v>
      </c>
      <c r="I6" s="54" t="str">
        <f aca="false">IFERROR(VLOOKUP(C6,Patches!A:E,5,FALSE()),"")</f>
        <v>Resolve clearance gaps 10 days or replace personnel.</v>
      </c>
    </row>
    <row r="7" customFormat="false" ht="23.85" hidden="false" customHeight="false" outlineLevel="0" collapsed="false">
      <c r="A7" s="40" t="s">
        <v>351</v>
      </c>
      <c r="B7" s="41" t="n">
        <v>46000</v>
      </c>
      <c r="C7" s="42" t="s">
        <v>301</v>
      </c>
      <c r="D7" s="42" t="s">
        <v>91</v>
      </c>
      <c r="E7" s="42" t="s">
        <v>352</v>
      </c>
      <c r="F7" s="42" t="s">
        <v>353</v>
      </c>
      <c r="G7" s="42" t="s">
        <v>239</v>
      </c>
      <c r="H7" s="60" t="n">
        <f aca="false">IFERROR(B7-VLOOKUP(C7,Patches!A:B,2,FALSE()),"")</f>
        <v>-36</v>
      </c>
      <c r="I7" s="54" t="str">
        <f aca="false">IFERROR(VLOOKUP(C7,Patches!A:E,5,FALSE()),"")</f>
        <v>Cure notice drafted. 10-day cure period.</v>
      </c>
    </row>
    <row r="8" customFormat="false" ht="23.85" hidden="false" customHeight="false" outlineLevel="0" collapsed="false">
      <c r="A8" s="35" t="s">
        <v>354</v>
      </c>
      <c r="B8" s="36" t="n">
        <v>45988</v>
      </c>
      <c r="C8" s="37" t="s">
        <v>304</v>
      </c>
      <c r="D8" s="37" t="s">
        <v>95</v>
      </c>
      <c r="E8" s="37" t="s">
        <v>355</v>
      </c>
      <c r="F8" s="37" t="s">
        <v>356</v>
      </c>
      <c r="G8" s="37" t="s">
        <v>72</v>
      </c>
      <c r="H8" s="60" t="n">
        <f aca="false">IFERROR(B8-VLOOKUP(C8,Patches!A:B,2,FALSE()),"")</f>
        <v>-53</v>
      </c>
      <c r="I8" s="54" t="str">
        <f aca="false">IFERROR(VLOOKUP(C8,Patches!A:E,5,FALSE()),"")</f>
        <v>COR direction: reformat per DI-MGMT-81466.</v>
      </c>
    </row>
    <row r="9" customFormat="false" ht="23.85" hidden="false" customHeight="false" outlineLevel="0" collapsed="false">
      <c r="A9" s="40" t="s">
        <v>357</v>
      </c>
      <c r="B9" s="41" t="n">
        <v>46021</v>
      </c>
      <c r="C9" s="42" t="s">
        <v>307</v>
      </c>
      <c r="D9" s="42" t="s">
        <v>99</v>
      </c>
      <c r="E9" s="42" t="s">
        <v>358</v>
      </c>
      <c r="F9" s="42" t="s">
        <v>359</v>
      </c>
      <c r="G9" s="42" t="s">
        <v>72</v>
      </c>
      <c r="H9" s="60" t="n">
        <f aca="false">IFERROR(B9-VLOOKUP(C9,Patches!A:B,2,FALSE()),"")</f>
        <v>55</v>
      </c>
      <c r="I9" s="54" t="str">
        <f aca="false">IFERROR(VLOOKUP(C9,Patches!A:E,5,FALSE()),"")</f>
        <v>Sprint 15 must show &gt;80% coverage or reject.</v>
      </c>
    </row>
    <row r="10" customFormat="false" ht="23.85" hidden="false" customHeight="false" outlineLevel="0" collapsed="false">
      <c r="A10" s="35" t="s">
        <v>360</v>
      </c>
      <c r="B10" s="36" t="n">
        <v>46028</v>
      </c>
      <c r="C10" s="37" t="s">
        <v>310</v>
      </c>
      <c r="D10" s="37" t="s">
        <v>103</v>
      </c>
      <c r="E10" s="37" t="s">
        <v>361</v>
      </c>
      <c r="F10" s="37" t="s">
        <v>362</v>
      </c>
      <c r="G10" s="37" t="s">
        <v>72</v>
      </c>
      <c r="H10" s="60" t="n">
        <f aca="false">IFERROR(B10-VLOOKUP(C10,Patches!A:B,2,FALSE()),"")</f>
        <v>-28</v>
      </c>
      <c r="I10" s="54" t="str">
        <f aca="false">IFERROR(VLOOKUP(C10,Patches!A:E,5,FALSE()),"")</f>
        <v>Revise on-call procedures. Updated roster 7 days.</v>
      </c>
    </row>
    <row r="11" customFormat="false" ht="23.85" hidden="false" customHeight="false" outlineLevel="0" collapsed="false">
      <c r="A11" s="40" t="s">
        <v>363</v>
      </c>
      <c r="B11" s="41" t="n">
        <v>46069</v>
      </c>
      <c r="C11" s="42" t="s">
        <v>313</v>
      </c>
      <c r="D11" s="42" t="s">
        <v>107</v>
      </c>
      <c r="E11" s="42" t="s">
        <v>364</v>
      </c>
      <c r="F11" s="42" t="s">
        <v>365</v>
      </c>
      <c r="G11" s="42" t="s">
        <v>239</v>
      </c>
      <c r="H11" s="60" t="n">
        <f aca="false">IFERROR(B11-VLOOKUP(C11,Patches!A:B,2,FALSE()),"")</f>
        <v>96</v>
      </c>
      <c r="I11" s="54" t="str">
        <f aca="false">IFERROR(VLOOKUP(C11,Patches!A:E,5,FALSE()),"")</f>
        <v>Implement auto backup verification. Daily report 30 days.</v>
      </c>
    </row>
  </sheetData>
  <autoFilter ref="A1:I11"/>
  <dataValidations count="2">
    <dataValidation allowBlank="true" errorStyle="stop" operator="between" showDropDown="false" showErrorMessage="false" showInputMessage="false" sqref="D2:D1000" type="list">
      <formula1>Claims!$A$2:$A$31</formula1>
      <formula2>0</formula2>
    </dataValidation>
    <dataValidation allowBlank="true" errorStyle="stop" operator="between" showDropDown="false" showErrorMessage="false" showInputMessage="false" sqref="C2:C1000" type="list">
      <formula1>Patches!$A$2:$A$16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2026-03-12T02:08:43Z</dcterms:created>
  <dc:creator>openpyxl</dc:creator>
  <dc:description/>
  <dc:language>en-US</dc:language>
  <cp:lastModifiedBy/>
  <dcterms:modified xsi:type="dcterms:W3CDTF">2026-03-12T02:08:44Z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