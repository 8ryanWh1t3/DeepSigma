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aims" sheetId="2" state="visible" r:id="rId4"/>
    <sheet name="Events" sheetId="3" state="visible" r:id="rId5"/>
    <sheet name="Reviews" sheetId="4" state="visible" r:id="rId6"/>
    <sheet name="Patches" sheetId="5" state="visible" r:id="rId7"/>
    <sheet name="Apply" sheetId="6" state="visible" r:id="rId8"/>
    <sheet name="Changelog" sheetId="7" state="visible" r:id="rId9"/>
    <sheet name="COR Weekly Repor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<sst xmlns="http://schemas.openxmlformats.org/spreadsheetml/2006/main" count="893" uniqueCount="443">
  <si>
    <t xml:space="preserve">CERPA v3 — OPERATIONAL DASHBOARD</t>
  </si>
  <si>
    <t xml:space="preserve">VOLUME</t>
  </si>
  <si>
    <t xml:space="preserve">Claims</t>
  </si>
  <si>
    <t xml:space="preserve">Events</t>
  </si>
  <si>
    <t xml:space="preserve">Reviews</t>
  </si>
  <si>
    <t xml:space="preserve">Patches</t>
  </si>
  <si>
    <t xml:space="preserve">Applied</t>
  </si>
  <si>
    <t xml:space="preserve">DRIFT</t>
  </si>
  <si>
    <t xml:space="preserve">SEVERITY</t>
  </si>
  <si>
    <t xml:space="preserve">Drift Y</t>
  </si>
  <si>
    <t xml:space="preserve">Dev Y</t>
  </si>
  <si>
    <t xml:space="preserve">Critical</t>
  </si>
  <si>
    <t xml:space="preserve">Drift N</t>
  </si>
  <si>
    <t xml:space="preserve">Dev N</t>
  </si>
  <si>
    <t xml:space="preserve">High</t>
  </si>
  <si>
    <t xml:space="preserve">Rate</t>
  </si>
  <si>
    <t xml:space="preserve">Dev Rate</t>
  </si>
  <si>
    <t xml:space="preserve">Medium</t>
  </si>
  <si>
    <t xml:space="preserve">Low</t>
  </si>
  <si>
    <t xml:space="preserve">RISK SCORE</t>
  </si>
  <si>
    <t xml:space="preserve">STATUS</t>
  </si>
  <si>
    <t xml:space="preserve">COVERAGE</t>
  </si>
  <si>
    <t xml:space="preserve">High Risk (&gt;60)</t>
  </si>
  <si>
    <t xml:space="preserve">Open</t>
  </si>
  <si>
    <t xml:space="preserve">Event Cov</t>
  </si>
  <si>
    <t xml:space="preserve">Medium Risk (30-60)</t>
  </si>
  <si>
    <t xml:space="preserve">Under Review</t>
  </si>
  <si>
    <t xml:space="preserve">Review Cov</t>
  </si>
  <si>
    <t xml:space="preserve">Low Risk (0-30)</t>
  </si>
  <si>
    <t xml:space="preserve">Patched</t>
  </si>
  <si>
    <t xml:space="preserve">Patch Rate</t>
  </si>
  <si>
    <t xml:space="preserve">Avg Risk Score</t>
  </si>
  <si>
    <t xml:space="preserve">Closed</t>
  </si>
  <si>
    <t xml:space="preserve">Apply Rate</t>
  </si>
  <si>
    <t xml:space="preserve">AGING</t>
  </si>
  <si>
    <t xml:space="preserve">CYCLE TIME</t>
  </si>
  <si>
    <t xml:space="preserve">CHANGELOG</t>
  </si>
  <si>
    <t xml:space="preserve">&gt;30 days</t>
  </si>
  <si>
    <t xml:space="preserve">Evt→Rev (days)</t>
  </si>
  <si>
    <t xml:space="preserve">Total Edits</t>
  </si>
  <si>
    <t xml:space="preserve">&gt;60 days</t>
  </si>
  <si>
    <t xml:space="preserve">Pending&gt;14d</t>
  </si>
  <si>
    <t xml:space="preserve">&gt;90 days</t>
  </si>
  <si>
    <t xml:space="preserve">Completion</t>
  </si>
  <si>
    <t xml:space="preserve">Avg Open</t>
  </si>
  <si>
    <t xml:space="preserve">v3 FEATURES: Structured Tables | Risk Scoring Engine | COR Weekly Report | Changelog | Data Validation | INDEX/MATCH Auto-Pull | Overdue Detection</t>
  </si>
  <si>
    <t xml:space="preserve">ClaimID</t>
  </si>
  <si>
    <t xml:space="preserve">Date</t>
  </si>
  <si>
    <t xml:space="preserve">Owner</t>
  </si>
  <si>
    <t xml:space="preserve">Description</t>
  </si>
  <si>
    <t xml:space="preserve">Source</t>
  </si>
  <si>
    <t xml:space="preserve">Status</t>
  </si>
  <si>
    <t xml:space="preserve">LinkedEventIDs</t>
  </si>
  <si>
    <t xml:space="preserve">DaysOpen</t>
  </si>
  <si>
    <t xml:space="preserve">DriftCount</t>
  </si>
  <si>
    <t xml:space="preserve">MaxSeverity</t>
  </si>
  <si>
    <t xml:space="preserve">PatchStatus</t>
  </si>
  <si>
    <t xml:space="preserve">RiskScore</t>
  </si>
  <si>
    <t xml:space="preserve">CLM-001</t>
  </si>
  <si>
    <t xml:space="preserve">MAJ Torres (COR)</t>
  </si>
  <si>
    <t xml:space="preserve">Monthly status report by 5th business day</t>
  </si>
  <si>
    <t xml:space="preserve">SOW 3.1</t>
  </si>
  <si>
    <t xml:space="preserve">EVT-001</t>
  </si>
  <si>
    <t xml:space="preserve">CLM-002</t>
  </si>
  <si>
    <t xml:space="preserve">CPT Chen (ACOR)</t>
  </si>
  <si>
    <t xml:space="preserve">Software deliverables pass security scan before acceptance</t>
  </si>
  <si>
    <t xml:space="preserve">SOW 3.2</t>
  </si>
  <si>
    <t xml:space="preserve">EVT-002</t>
  </si>
  <si>
    <t xml:space="preserve">CLM-003</t>
  </si>
  <si>
    <t xml:space="preserve">Mr. Davis (KO)</t>
  </si>
  <si>
    <t xml:space="preserve">Maintain 98% system uptime during core hours</t>
  </si>
  <si>
    <t xml:space="preserve">SOW 4.1</t>
  </si>
  <si>
    <t xml:space="preserve">EVT-003</t>
  </si>
  <si>
    <t xml:space="preserve">CLM-004</t>
  </si>
  <si>
    <t xml:space="preserve">Ms. Patel (PM)</t>
  </si>
  <si>
    <t xml:space="preserve">Weekly staffing report due Monday by 1200</t>
  </si>
  <si>
    <t xml:space="preserve">SOW 5.3</t>
  </si>
  <si>
    <t xml:space="preserve">EVT-004</t>
  </si>
  <si>
    <t xml:space="preserve">CLM-005</t>
  </si>
  <si>
    <t xml:space="preserve">SSG Miller (QA)</t>
  </si>
  <si>
    <t xml:space="preserve">All personnel hold TS/SCI clearance</t>
  </si>
  <si>
    <t xml:space="preserve">CDRL A001</t>
  </si>
  <si>
    <t xml:space="preserve">EVT-005</t>
  </si>
  <si>
    <t xml:space="preserve">CLM-006</t>
  </si>
  <si>
    <t xml:space="preserve">Help desk response within 15 min during business hours</t>
  </si>
  <si>
    <t xml:space="preserve">CDRL A003</t>
  </si>
  <si>
    <t xml:space="preserve">EVT-006</t>
  </si>
  <si>
    <t xml:space="preserve">CLM-007</t>
  </si>
  <si>
    <t xml:space="preserve">Quarterly program review by 10th of quarter</t>
  </si>
  <si>
    <t xml:space="preserve">CDRL A005</t>
  </si>
  <si>
    <t xml:space="preserve">EVT-007</t>
  </si>
  <si>
    <t xml:space="preserve">CLM-008</t>
  </si>
  <si>
    <t xml:space="preserve">Code commits include &gt;80% unit test coverage</t>
  </si>
  <si>
    <t xml:space="preserve">PWS 3.2.1</t>
  </si>
  <si>
    <t xml:space="preserve">EVT-008</t>
  </si>
  <si>
    <t xml:space="preserve">CLM-009</t>
  </si>
  <si>
    <t xml:space="preserve">24/7 on-call support for critical systems</t>
  </si>
  <si>
    <t xml:space="preserve">PWS 4.1.3</t>
  </si>
  <si>
    <t xml:space="preserve">EVT-009</t>
  </si>
  <si>
    <t xml:space="preserve">CLM-010</t>
  </si>
  <si>
    <t xml:space="preserve">Nightly backup with weekly verification log</t>
  </si>
  <si>
    <t xml:space="preserve">QASP 2</t>
  </si>
  <si>
    <t xml:space="preserve">EVT-010</t>
  </si>
  <si>
    <t xml:space="preserve">CLM-011</t>
  </si>
  <si>
    <t xml:space="preserve">Network monitoring dashboard real-time 5-min refresh</t>
  </si>
  <si>
    <t xml:space="preserve">QASP 4</t>
  </si>
  <si>
    <t xml:space="preserve">EVT-011</t>
  </si>
  <si>
    <t xml:space="preserve">CLM-012</t>
  </si>
  <si>
    <t xml:space="preserve">Incident response within 30 min of detection</t>
  </si>
  <si>
    <t xml:space="preserve">TO Mod 001</t>
  </si>
  <si>
    <t xml:space="preserve">EVT-012</t>
  </si>
  <si>
    <t xml:space="preserve">CLM-013</t>
  </si>
  <si>
    <t xml:space="preserve">Documentation per DI-MGMT-81466</t>
  </si>
  <si>
    <t xml:space="preserve">TO Mod 003</t>
  </si>
  <si>
    <t xml:space="preserve">EVT-013</t>
  </si>
  <si>
    <t xml:space="preserve">CLM-014</t>
  </si>
  <si>
    <t xml:space="preserve">Training materials updated within 30 days of change</t>
  </si>
  <si>
    <t xml:space="preserve">Policy 24-01</t>
  </si>
  <si>
    <t xml:space="preserve">EVT-014</t>
  </si>
  <si>
    <t xml:space="preserve">CLM-015</t>
  </si>
  <si>
    <t xml:space="preserve">Transition plan 90 days before PoP end</t>
  </si>
  <si>
    <t xml:space="preserve">COR Dir 25-001</t>
  </si>
  <si>
    <t xml:space="preserve">EVT-015</t>
  </si>
  <si>
    <t xml:space="preserve">CLM-016</t>
  </si>
  <si>
    <t xml:space="preserve">Comply with NIST 800-171</t>
  </si>
  <si>
    <t xml:space="preserve">EVT-016</t>
  </si>
  <si>
    <t xml:space="preserve">CLM-017</t>
  </si>
  <si>
    <t xml:space="preserve">Configuration management plan current</t>
  </si>
  <si>
    <t xml:space="preserve">EVT-017</t>
  </si>
  <si>
    <t xml:space="preserve">CLM-018</t>
  </si>
  <si>
    <t xml:space="preserve">Critical CVE patches within 72 hours</t>
  </si>
  <si>
    <t xml:space="preserve">EVT-018</t>
  </si>
  <si>
    <t xml:space="preserve">CLM-019</t>
  </si>
  <si>
    <t xml:space="preserve">Travel requires prior COR written approval</t>
  </si>
  <si>
    <t xml:space="preserve">EVT-019</t>
  </si>
  <si>
    <t xml:space="preserve">CLM-020</t>
  </si>
  <si>
    <t xml:space="preserve">Monthly financial report with burn-rate by 10th</t>
  </si>
  <si>
    <t xml:space="preserve">EVT-020</t>
  </si>
  <si>
    <t xml:space="preserve">CLM-021</t>
  </si>
  <si>
    <t xml:space="preserve">Risk register reviewed at each program review</t>
  </si>
  <si>
    <t xml:space="preserve">EVT-021</t>
  </si>
  <si>
    <t xml:space="preserve">CLM-022</t>
  </si>
  <si>
    <t xml:space="preserve">Key personnel changes require 30-day notice</t>
  </si>
  <si>
    <t xml:space="preserve">EVT-022</t>
  </si>
  <si>
    <t xml:space="preserve">CLM-023</t>
  </si>
  <si>
    <t xml:space="preserve">GFE tracked in property log</t>
  </si>
  <si>
    <t xml:space="preserve">EVT-023</t>
  </si>
  <si>
    <t xml:space="preserve">CLM-024</t>
  </si>
  <si>
    <t xml:space="preserve">Test plan approved before testing begins</t>
  </si>
  <si>
    <t xml:space="preserve">EVT-024</t>
  </si>
  <si>
    <t xml:space="preserve">CLM-025</t>
  </si>
  <si>
    <t xml:space="preserve">Final delivery acceptance within 10 business days</t>
  </si>
  <si>
    <t xml:space="preserve">EVT-025</t>
  </si>
  <si>
    <t xml:space="preserve">CLM-026</t>
  </si>
  <si>
    <t xml:space="preserve">Maintain ISO 27001 certification throughout PoP</t>
  </si>
  <si>
    <t xml:space="preserve">CLM-027</t>
  </si>
  <si>
    <t xml:space="preserve">Sub-contractor performance reported quarterly</t>
  </si>
  <si>
    <t xml:space="preserve">CLM-028</t>
  </si>
  <si>
    <t xml:space="preserve">EVM reports delivered monthly per CDRL</t>
  </si>
  <si>
    <t xml:space="preserve">CLM-029</t>
  </si>
  <si>
    <t xml:space="preserve">Access control logs reviewed weekly</t>
  </si>
  <si>
    <t xml:space="preserve">CLM-030</t>
  </si>
  <si>
    <t xml:space="preserve">Lessons learned within 30 days of milestone</t>
  </si>
  <si>
    <t xml:space="preserve">EventID</t>
  </si>
  <si>
    <t xml:space="preserve">Observer</t>
  </si>
  <si>
    <t xml:space="preserve">WhatHappened</t>
  </si>
  <si>
    <t xml:space="preserve">Evidence</t>
  </si>
  <si>
    <t xml:space="preserve">Deviation</t>
  </si>
  <si>
    <t xml:space="preserve">ClaimDesc_auto</t>
  </si>
  <si>
    <t xml:space="preserve">ClaimSource_auto</t>
  </si>
  <si>
    <t xml:space="preserve">March report delivered 12th business day — 7 days late</t>
  </si>
  <si>
    <t xml:space="preserve">\\server\Evidence\EVT-001.pdf</t>
  </si>
  <si>
    <t xml:space="preserve">N</t>
  </si>
  <si>
    <t xml:space="preserve">Security scan: 3 critical findings</t>
  </si>
  <si>
    <t xml:space="preserve">\\server\Evidence\EVT-002.pdf</t>
  </si>
  <si>
    <t xml:space="preserve">Y</t>
  </si>
  <si>
    <t xml:space="preserve">Feb uptime 94.2% — below 98%</t>
  </si>
  <si>
    <t xml:space="preserve">\\server\Evidence\EVT-003.pdf</t>
  </si>
  <si>
    <t xml:space="preserve">Staffing report Monday at 1430 — 2.5 hrs late</t>
  </si>
  <si>
    <t xml:space="preserve">\\server\Evidence\EVT-004.pdf</t>
  </si>
  <si>
    <t xml:space="preserve">2 of 14 staff have expired clearances</t>
  </si>
  <si>
    <t xml:space="preserve">\\server\Evidence\EVT-005.pdf</t>
  </si>
  <si>
    <t xml:space="preserve">Help desk avg response: 22 min — exceeds SLA</t>
  </si>
  <si>
    <t xml:space="preserve">\\server\Evidence\EVT-006.pdf</t>
  </si>
  <si>
    <t xml:space="preserve">Q1 review on time; content reviewed</t>
  </si>
  <si>
    <t xml:space="preserve">\\server\Evidence\EVT-007.pdf</t>
  </si>
  <si>
    <t xml:space="preserve">Code coverage 71% on Sprint 14</t>
  </si>
  <si>
    <t xml:space="preserve">\\server\Evidence\EVT-008.pdf</t>
  </si>
  <si>
    <t xml:space="preserve">On-call unreachable 45 min during Sev1</t>
  </si>
  <si>
    <t xml:space="preserve">\\server\Evidence\EVT-009.pdf</t>
  </si>
  <si>
    <t xml:space="preserve">3 failed backups week of 3/15</t>
  </si>
  <si>
    <t xml:space="preserve">\\server\Evidence\EVT-010.pdf</t>
  </si>
  <si>
    <t xml:space="preserve">Dashboard 15-min gap during maintenance</t>
  </si>
  <si>
    <t xml:space="preserve">\\server\Evidence\EVT-011.pdf</t>
  </si>
  <si>
    <t xml:space="preserve">Incident response: 47 min for P1 outage</t>
  </si>
  <si>
    <t xml:space="preserve">\\server\Evidence\EVT-012.pdf</t>
  </si>
  <si>
    <t xml:space="preserve">Doc format non-conformant to template</t>
  </si>
  <si>
    <t xml:space="preserve">\\server\Evidence\EVT-013.pdf</t>
  </si>
  <si>
    <t xml:space="preserve">Training references deprecated v2.1 vs v3.0</t>
  </si>
  <si>
    <t xml:space="preserve">\\server\Evidence\EVT-014.pdf</t>
  </si>
  <si>
    <t xml:space="preserve">Transition plan submitted day 85 — 5 days late</t>
  </si>
  <si>
    <t xml:space="preserve">\\server\Evidence\EVT-015.pdf</t>
  </si>
  <si>
    <t xml:space="preserve">NIST self-assessment 87/110 — 3 POAMs</t>
  </si>
  <si>
    <t xml:space="preserve">\\server\Evidence\EVT-016.pdf</t>
  </si>
  <si>
    <t xml:space="preserve">CM plan 6 months stale</t>
  </si>
  <si>
    <t xml:space="preserve">\\server\Evidence\EVT-017.pdf</t>
  </si>
  <si>
    <t xml:space="preserve">CVE patches applied in 96 hrs — 24 hrs over</t>
  </si>
  <si>
    <t xml:space="preserve">\\server\Evidence\EVT-018.pdf</t>
  </si>
  <si>
    <t xml:space="preserve">Travel without COR approval</t>
  </si>
  <si>
    <t xml:space="preserve">\\server\Evidence\EVT-019.pdf</t>
  </si>
  <si>
    <t xml:space="preserve">Financial report 15th — 5 days late, burn rate missing</t>
  </si>
  <si>
    <t xml:space="preserve">\\server\Evidence\EVT-020.pdf</t>
  </si>
  <si>
    <t xml:space="preserve">Sub-contractor report 2 weeks overdue</t>
  </si>
  <si>
    <t xml:space="preserve">\\server\Evidence\EVT-021.pdf</t>
  </si>
  <si>
    <t xml:space="preserve">EVM CPI 0.87 — below 0.95</t>
  </si>
  <si>
    <t xml:space="preserve">\\server\Evidence\EVT-022.pdf</t>
  </si>
  <si>
    <t xml:space="preserve">Access logs not reviewed 3 weeks</t>
  </si>
  <si>
    <t xml:space="preserve">\\server\Evidence\EVT-023.pdf</t>
  </si>
  <si>
    <t xml:space="preserve">Test plan missing Module C scenarios</t>
  </si>
  <si>
    <t xml:space="preserve">\\server\Evidence\EVT-024.pdf</t>
  </si>
  <si>
    <t xml:space="preserve">GFE log: 3 items unaccounted for</t>
  </si>
  <si>
    <t xml:space="preserve">\\server\Evidence\EVT-025.pdf</t>
  </si>
  <si>
    <t xml:space="preserve">ReviewID</t>
  </si>
  <si>
    <t xml:space="preserve">Finding</t>
  </si>
  <si>
    <t xml:space="preserve">DriftDetected</t>
  </si>
  <si>
    <t xml:space="preserve">Severity</t>
  </si>
  <si>
    <t xml:space="preserve">Reviewer</t>
  </si>
  <si>
    <t xml:space="preserve">DaysSinceEvent</t>
  </si>
  <si>
    <t xml:space="preserve">REV-001</t>
  </si>
  <si>
    <t xml:space="preserve">3 of 4 reports late. Pattern.</t>
  </si>
  <si>
    <t xml:space="preserve">Mr. Jackson (QA)</t>
  </si>
  <si>
    <t xml:space="preserve">REV-002</t>
  </si>
  <si>
    <t xml:space="preserve">Critical findings. Cannot accept.</t>
  </si>
  <si>
    <t xml:space="preserve">REV-003</t>
  </si>
  <si>
    <t xml:space="preserve">Uptime below 2 months. Systemic.</t>
  </si>
  <si>
    <t xml:space="preserve">Ms. Kim (Audit)</t>
  </si>
  <si>
    <t xml:space="preserve">REV-004</t>
  </si>
  <si>
    <t xml:space="preserve">Minor. Verbal counseling. Monitor 4 weeks.</t>
  </si>
  <si>
    <t xml:space="preserve">REV-005</t>
  </si>
  <si>
    <t xml:space="preserve">Clearance gap. Cannot access SCIF.</t>
  </si>
  <si>
    <t xml:space="preserve">REV-006</t>
  </si>
  <si>
    <t xml:space="preserve">SLA breach 5 of 8 weeks. Not isolated.</t>
  </si>
  <si>
    <t xml:space="preserve">REV-007</t>
  </si>
  <si>
    <t xml:space="preserve">Content ok. Format needs work. Minor.</t>
  </si>
  <si>
    <t xml:space="preserve">REV-008</t>
  </si>
  <si>
    <t xml:space="preserve">Coverage deficit. Quality risk.</t>
  </si>
  <si>
    <t xml:space="preserve">REV-009</t>
  </si>
  <si>
    <t xml:space="preserve">On-call failure during Sev1. Critical.</t>
  </si>
  <si>
    <t xml:space="preserve">REV-010</t>
  </si>
  <si>
    <t xml:space="preserve">Backup failures. Data loss risk.</t>
  </si>
  <si>
    <t xml:space="preserve">REV-011</t>
  </si>
  <si>
    <t xml:space="preserve">Gap acceptable during maintenance.</t>
  </si>
  <si>
    <t xml:space="preserve">REV-012</t>
  </si>
  <si>
    <t xml:space="preserve">Response time critical. Playbook not followed.</t>
  </si>
  <si>
    <t xml:space="preserve">REV-013</t>
  </si>
  <si>
    <t xml:space="preserve">Format non-conformance. Correctable.</t>
  </si>
  <si>
    <t xml:space="preserve">REV-014</t>
  </si>
  <si>
    <t xml:space="preserve">Outdated training. Immediate update needed.</t>
  </si>
  <si>
    <t xml:space="preserve">REV-015</t>
  </si>
  <si>
    <t xml:space="preserve">Late within tolerance. Verbal notice.</t>
  </si>
  <si>
    <t xml:space="preserve">REV-016</t>
  </si>
  <si>
    <t xml:space="preserve">NIST gap. Formal POAM required.</t>
  </si>
  <si>
    <t xml:space="preserve">REV-017</t>
  </si>
  <si>
    <t xml:space="preserve">CM staleness. Config risk.</t>
  </si>
  <si>
    <t xml:space="preserve">REV-018</t>
  </si>
  <si>
    <t xml:space="preserve">CVE delay. Security risk. Escalate.</t>
  </si>
  <si>
    <t xml:space="preserve">REV-019</t>
  </si>
  <si>
    <t xml:space="preserve">Unauthorized travel. Compliance violation.</t>
  </si>
  <si>
    <t xml:space="preserve">REV-020</t>
  </si>
  <si>
    <t xml:space="preserve">Financial delay impairs visibility.</t>
  </si>
  <si>
    <t xml:space="preserve">PatchID</t>
  </si>
  <si>
    <t xml:space="preserve">Correction</t>
  </si>
  <si>
    <t xml:space="preserve">Rationale</t>
  </si>
  <si>
    <t xml:space="preserve">Approver</t>
  </si>
  <si>
    <t xml:space="preserve">ReviewFinding_auto</t>
  </si>
  <si>
    <t xml:space="preserve">PAT-001</t>
  </si>
  <si>
    <t xml:space="preserve">COR letter. CAP due April 15.</t>
  </si>
  <si>
    <t xml:space="preserve">Review REV-001 drift requiring correction.</t>
  </si>
  <si>
    <t xml:space="preserve">PAT-002</t>
  </si>
  <si>
    <t xml:space="preserve">Deliverable returned. Remediate and resubmit.</t>
  </si>
  <si>
    <t xml:space="preserve">Review REV-002 drift requiring correction.</t>
  </si>
  <si>
    <t xml:space="preserve">Pending</t>
  </si>
  <si>
    <t xml:space="preserve">PAT-003</t>
  </si>
  <si>
    <t xml:space="preserve">PIP required 14 days. Monitor 2 months.</t>
  </si>
  <si>
    <t xml:space="preserve">Review REV-003 drift requiring correction.</t>
  </si>
  <si>
    <t xml:space="preserve">COL Richardson (DPM)</t>
  </si>
  <si>
    <t xml:space="preserve">Approved</t>
  </si>
  <si>
    <t xml:space="preserve">PAT-004</t>
  </si>
  <si>
    <t xml:space="preserve">Verbal counseling documented.</t>
  </si>
  <si>
    <t xml:space="preserve">Review REV-004 drift requiring correction.</t>
  </si>
  <si>
    <t xml:space="preserve">PAT-005</t>
  </si>
  <si>
    <t xml:space="preserve">Resolve clearances 10 days or replace.</t>
  </si>
  <si>
    <t xml:space="preserve">Review REV-005 drift requiring correction.</t>
  </si>
  <si>
    <t xml:space="preserve">PAT-006</t>
  </si>
  <si>
    <t xml:space="preserve">Cure notice. 10-day cure period.</t>
  </si>
  <si>
    <t xml:space="preserve">Review REV-006 drift requiring correction.</t>
  </si>
  <si>
    <t xml:space="preserve">PAT-007</t>
  </si>
  <si>
    <t xml:space="preserve">COR direction: reformat per template.</t>
  </si>
  <si>
    <t xml:space="preserve">Review REV-007 drift requiring correction.</t>
  </si>
  <si>
    <t xml:space="preserve">PAT-008</t>
  </si>
  <si>
    <t xml:space="preserve">Sprint 15 must show &gt;80% or reject.</t>
  </si>
  <si>
    <t xml:space="preserve">Review REV-008 drift requiring correction.</t>
  </si>
  <si>
    <t xml:space="preserve">PAT-009</t>
  </si>
  <si>
    <t xml:space="preserve">Revise on-call procedures. Roster in 7 days.</t>
  </si>
  <si>
    <t xml:space="preserve">Review REV-009 drift requiring correction.</t>
  </si>
  <si>
    <t xml:space="preserve">PAT-010</t>
  </si>
  <si>
    <t xml:space="preserve">Implement automated backup verify. Daily 30 days.</t>
  </si>
  <si>
    <t xml:space="preserve">Review REV-010 drift requiring correction.</t>
  </si>
  <si>
    <t xml:space="preserve">PAT-011</t>
  </si>
  <si>
    <t xml:space="preserve">No action. Within maintenance window.</t>
  </si>
  <si>
    <t xml:space="preserve">Review REV-011 drift requiring correction.</t>
  </si>
  <si>
    <t xml:space="preserve">PAT-012</t>
  </si>
  <si>
    <t xml:space="preserve">Incident response drill 14 days.</t>
  </si>
  <si>
    <t xml:space="preserve">Review REV-012 drift requiring correction.</t>
  </si>
  <si>
    <t xml:space="preserve">PAT-013</t>
  </si>
  <si>
    <t xml:space="preserve">Update all docs to current template 30 days.</t>
  </si>
  <si>
    <t xml:space="preserve">Review REV-013 drift requiring correction.</t>
  </si>
  <si>
    <t xml:space="preserve">PAT-014</t>
  </si>
  <si>
    <t xml:space="preserve">Update training to v3.0 in 21 days.</t>
  </si>
  <si>
    <t xml:space="preserve">Review REV-014 drift requiring correction.</t>
  </si>
  <si>
    <t xml:space="preserve">PAT-015</t>
  </si>
  <si>
    <t xml:space="preserve">Written notice. Next late triggers cure.</t>
  </si>
  <si>
    <t xml:space="preserve">Review REV-015 drift requiring correction.</t>
  </si>
  <si>
    <t xml:space="preserve">ApplyID</t>
  </si>
  <si>
    <t xml:space="preserve">ActionTaken</t>
  </si>
  <si>
    <t xml:space="preserve">VerifiedBy</t>
  </si>
  <si>
    <t xml:space="preserve">PatchCorrection_auto</t>
  </si>
  <si>
    <t xml:space="preserve">APL-001</t>
  </si>
  <si>
    <t xml:space="preserve">CAP received. April report on time. Claim updated.</t>
  </si>
  <si>
    <t xml:space="preserve">\\server\Evidence\APL-001_close.pdf</t>
  </si>
  <si>
    <t xml:space="preserve">APL-002</t>
  </si>
  <si>
    <t xml:space="preserve">Resubmission. All 3 Critical fixed. Accepted.</t>
  </si>
  <si>
    <t xml:space="preserve">\\server\Evidence\APL-002_close.pdf</t>
  </si>
  <si>
    <t xml:space="preserve">APL-003</t>
  </si>
  <si>
    <t xml:space="preserve">PIP submitted. March uptime 99.1%. Monitoring.</t>
  </si>
  <si>
    <t xml:space="preserve">\\server\Evidence\APL-003_close.pdf</t>
  </si>
  <si>
    <t xml:space="preserve">APL-004</t>
  </si>
  <si>
    <t xml:space="preserve">Next 4 reports on time. Closed.</t>
  </si>
  <si>
    <t xml:space="preserve">\\server\Evidence\APL-004_close.pdf</t>
  </si>
  <si>
    <t xml:space="preserve">APL-005</t>
  </si>
  <si>
    <t xml:space="preserve">2 personnel replaced 8 days. Verified.</t>
  </si>
  <si>
    <t xml:space="preserve">\\server\Evidence\APL-005_close.pdf</t>
  </si>
  <si>
    <t xml:space="preserve">APL-006</t>
  </si>
  <si>
    <t xml:space="preserve">SLA met 4 weeks. Closed.</t>
  </si>
  <si>
    <t xml:space="preserve">\\server\Evidence\APL-006_close.pdf</t>
  </si>
  <si>
    <t xml:space="preserve">APL-007</t>
  </si>
  <si>
    <t xml:space="preserve">Reformatted correctly. Accepted.</t>
  </si>
  <si>
    <t xml:space="preserve">\\server\Evidence\APL-007_close.pdf</t>
  </si>
  <si>
    <t xml:space="preserve">APL-008</t>
  </si>
  <si>
    <t xml:space="preserve">Sprint 15: 84% coverage. Accepted.</t>
  </si>
  <si>
    <t xml:space="preserve">\\server\Evidence\APL-008_close.pdf</t>
  </si>
  <si>
    <t xml:space="preserve">APL-009</t>
  </si>
  <si>
    <t xml:space="preserve">Revised roster. Drill successful.</t>
  </si>
  <si>
    <t xml:space="preserve">\\server\Evidence\APL-009_close.pdf</t>
  </si>
  <si>
    <t xml:space="preserve">APL-010</t>
  </si>
  <si>
    <t xml:space="preserve">Auto verify live. 100% success 30 days. Closed.</t>
  </si>
  <si>
    <t xml:space="preserve">\\server\Evidence\APL-010_close.pdf</t>
  </si>
  <si>
    <t xml:space="preserve">EntryNo</t>
  </si>
  <si>
    <t xml:space="preserve">Timestamp</t>
  </si>
  <si>
    <t xml:space="preserve">User</t>
  </si>
  <si>
    <t xml:space="preserve">Tab</t>
  </si>
  <si>
    <t xml:space="preserve">RecordID</t>
  </si>
  <si>
    <t xml:space="preserve">Field</t>
  </si>
  <si>
    <t xml:space="preserve">OldValue</t>
  </si>
  <si>
    <t xml:space="preserve">NewValue</t>
  </si>
  <si>
    <t xml:space="preserve">Reason</t>
  </si>
  <si>
    <t xml:space="preserve">2025-10-15 09:14</t>
  </si>
  <si>
    <t xml:space="preserve">MAJ Torres</t>
  </si>
  <si>
    <t xml:space="preserve">Uptime drift detected — initiating review</t>
  </si>
  <si>
    <t xml:space="preserve">2025-10-15 09:22</t>
  </si>
  <si>
    <t xml:space="preserve">Feb uptime 94.2% confirmed below threshold</t>
  </si>
  <si>
    <t xml:space="preserve">2025-10-18 14:30</t>
  </si>
  <si>
    <t xml:space="preserve">Mr. Jackson</t>
  </si>
  <si>
    <t xml:space="preserve">Upgraded: 2 consecutive months below threshold</t>
  </si>
  <si>
    <t xml:space="preserve">2025-10-22 10:45</t>
  </si>
  <si>
    <t xml:space="preserve">Ms. Patel</t>
  </si>
  <si>
    <t xml:space="preserve">PIP approved by PM. Monitoring begins.</t>
  </si>
  <si>
    <t xml:space="preserve">2025-11-01 08:00</t>
  </si>
  <si>
    <t xml:space="preserve">CPT Chen</t>
  </si>
  <si>
    <t xml:space="preserve">PIP applied. March uptime monitoring started.</t>
  </si>
  <si>
    <t xml:space="preserve">2025-11-05 11:15</t>
  </si>
  <si>
    <t xml:space="preserve">PIP in effect. Awaiting 2-month observation.</t>
  </si>
  <si>
    <t xml:space="preserve">2025-11-12 16:00</t>
  </si>
  <si>
    <t xml:space="preserve">Mr. Davis</t>
  </si>
  <si>
    <t xml:space="preserve">Unauthorized travel discovered in expense review</t>
  </si>
  <si>
    <t xml:space="preserve">2025-11-13 09:00</t>
  </si>
  <si>
    <t xml:space="preserve">Ms. Kim</t>
  </si>
  <si>
    <t xml:space="preserve">Travel violation confirmed. Compliance breach.</t>
  </si>
  <si>
    <t xml:space="preserve">2025-11-15 14:20</t>
  </si>
  <si>
    <t xml:space="preserve">—</t>
  </si>
  <si>
    <t xml:space="preserve">Written notice + counseling</t>
  </si>
  <si>
    <t xml:space="preserve">KO directed formal written notice to contractor</t>
  </si>
  <si>
    <t xml:space="preserve">2025-11-20 08:30</t>
  </si>
  <si>
    <t xml:space="preserve">\\server\EVT-020.pdf</t>
  </si>
  <si>
    <t xml:space="preserve">Late financial report evidence package attached</t>
  </si>
  <si>
    <t xml:space="preserve">2025-12-01 09:00</t>
  </si>
  <si>
    <t xml:space="preserve">CAP accepted. April report on time.</t>
  </si>
  <si>
    <t xml:space="preserve">2025-12-05 10:15</t>
  </si>
  <si>
    <t xml:space="preserve">SSG Miller</t>
  </si>
  <si>
    <t xml:space="preserve">Sprint 14 coverage at 71%. Below 80% threshold.</t>
  </si>
  <si>
    <t xml:space="preserve">2025-12-10 13:40</t>
  </si>
  <si>
    <t xml:space="preserve">Second sprint below coverage. Pattern emerging.</t>
  </si>
  <si>
    <t xml:space="preserve">2025-12-15 11:00</t>
  </si>
  <si>
    <t xml:space="preserve">Sprint 15 must demonstrate &gt;80% or reject.</t>
  </si>
  <si>
    <t xml:space="preserve">2025-12-20 16:30</t>
  </si>
  <si>
    <t xml:space="preserve">Apply</t>
  </si>
  <si>
    <t xml:space="preserve">Sprint 15: 84%. Accepted.</t>
  </si>
  <si>
    <t xml:space="preserve">Coverage threshold met. Deliverable accepted.</t>
  </si>
  <si>
    <t xml:space="preserve">AUTO-LOGGING SETUP</t>
  </si>
  <si>
    <t xml:space="preserve">To enable automatic change logging, save this workbook as .xlsm and add the following VBA macro:</t>
  </si>
  <si>
    <t xml:space="preserve">1. Press Alt+F11 to open the VBA Editor</t>
  </si>
  <si>
    <t xml:space="preserve">2. In the Project Explorer, double-click 'ThisWorkbook'</t>
  </si>
  <si>
    <t xml:space="preserve">3. Paste the Workbook_SheetChange event handler (provided separately)</t>
  </si>
  <si>
    <t xml:space="preserve">4. The macro will auto-log: timestamp, username, tab name, cell address, old value, new value</t>
  </si>
  <si>
    <t xml:space="preserve">5. Until VBA is enabled, log changes manually by adding rows to this tab</t>
  </si>
  <si>
    <t xml:space="preserve">FORMAT: EntryNo (sequential) | Timestamp | User | Tab | RecordID | Field | Old→New | Reason</t>
  </si>
  <si>
    <t xml:space="preserve">COR WEEKLY STATUS REPORT — AUTO-GENERATED FROM CERPA WORKBOOK</t>
  </si>
  <si>
    <t xml:space="preserve">Report Date:</t>
  </si>
  <si>
    <t xml:space="preserve">1. VOLUME SUMMARY</t>
  </si>
  <si>
    <t xml:space="preserve">Total Claims</t>
  </si>
  <si>
    <t xml:space="preserve">Total Events</t>
  </si>
  <si>
    <t xml:space="preserve">Total Reviews</t>
  </si>
  <si>
    <t xml:space="preserve">Total Patches</t>
  </si>
  <si>
    <t xml:space="preserve">Total Applied</t>
  </si>
  <si>
    <t xml:space="preserve">2. OPEN ISSUES &amp; OVERDUE</t>
  </si>
  <si>
    <t xml:space="preserve">Claims Open (not Closed)</t>
  </si>
  <si>
    <t xml:space="preserve">Claims Open &gt; 30 days</t>
  </si>
  <si>
    <t xml:space="preserve">Drifts Detected (unresolved)</t>
  </si>
  <si>
    <t xml:space="preserve">Patches Pending</t>
  </si>
  <si>
    <t xml:space="preserve">Patches Pending &gt; 14 days</t>
  </si>
  <si>
    <t xml:space="preserve">Events with Deviation</t>
  </si>
  <si>
    <t xml:space="preserve">3. TOP 5 RISK CLAIMS (BY RISK SCORE)</t>
  </si>
  <si>
    <t xml:space="preserve">Risk Score</t>
  </si>
  <si>
    <t xml:space="preserve">Drift Count</t>
  </si>
  <si>
    <t xml:space="preserve">4. LOOP HEALTH</t>
  </si>
  <si>
    <t xml:space="preserve">Event Coverage (Events/Claims)</t>
  </si>
  <si>
    <t xml:space="preserve">Review Coverage (Reviews/Events)</t>
  </si>
  <si>
    <t xml:space="preserve">Patch Rate (Patches/Drifts)</t>
  </si>
  <si>
    <t xml:space="preserve">Completion Rate (Apply/Claims)</t>
  </si>
  <si>
    <t xml:space="preserve">Drift Rate</t>
  </si>
  <si>
    <t xml:space="preserve">Avg Days Open (non-closed)</t>
  </si>
  <si>
    <t xml:space="preserve">Avg Risk Score (non-closed)</t>
  </si>
  <si>
    <t xml:space="preserve">This report auto-calculates from the five CERPA tabs. Print to PDF for weekly COR briefing. Ctrl+Shift+F9 to refresh.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</si>
</sst>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0.0%"/>
    <numFmt numFmtId="168" formatCode="0.0"/>
    <numFmt numFmtId="169" formatCode="yyyy\-mm\-dd\ h:mm:ss"/>
    <numFmt numFmtId="170" formatCode="yyyy\-mm\-dd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20"/>
      <color rgb="FFFF9100"/>
      <name val="Arial"/>
      <family val="0"/>
      <charset val="1"/>
    </font>
    <font>
      <b val="true"/>
      <sz val="20"/>
      <color rgb="FF00D4FF"/>
      <name val="Arial"/>
      <family val="0"/>
      <charset val="1"/>
    </font>
    <font>
      <b val="true"/>
      <sz val="20"/>
      <color rgb="FFB388FF"/>
      <name val="Arial"/>
      <family val="0"/>
      <charset val="1"/>
    </font>
    <font>
      <b val="true"/>
      <sz val="20"/>
      <color rgb="FF00E676"/>
      <name val="Arial"/>
      <family val="0"/>
      <charset val="1"/>
    </font>
    <font>
      <b val="true"/>
      <sz val="20"/>
      <color rgb="FFFFB800"/>
      <name val="Arial"/>
      <family val="0"/>
      <charset val="1"/>
    </font>
    <font>
      <sz val="9"/>
      <color rgb="FF6B7D8E"/>
      <name val="Arial"/>
      <family val="0"/>
      <charset val="1"/>
    </font>
    <font>
      <sz val="10"/>
      <color rgb="FF6B7D8E"/>
      <name val="Arial"/>
      <family val="0"/>
      <charset val="1"/>
    </font>
    <font>
      <b val="true"/>
      <sz val="14"/>
      <color rgb="FFFF4444"/>
      <name val="Arial"/>
      <family val="0"/>
      <charset val="1"/>
    </font>
    <font>
      <b val="true"/>
      <sz val="14"/>
      <color rgb="FF00E676"/>
      <name val="Arial"/>
      <family val="0"/>
      <charset val="1"/>
    </font>
    <font>
      <b val="true"/>
      <sz val="14"/>
      <color rgb="FFFF9100"/>
      <name val="Arial"/>
      <family val="0"/>
      <charset val="1"/>
    </font>
    <font>
      <b val="true"/>
      <sz val="14"/>
      <color rgb="FFFFB800"/>
      <name val="Arial"/>
      <family val="0"/>
      <charset val="1"/>
    </font>
    <font>
      <b val="true"/>
      <sz val="11"/>
      <color rgb="FFFF4444"/>
      <name val="Arial"/>
      <family val="0"/>
      <charset val="1"/>
    </font>
    <font>
      <b val="true"/>
      <sz val="14"/>
      <color rgb="FF00D4FF"/>
      <name val="Arial"/>
      <family val="0"/>
      <charset val="1"/>
    </font>
    <font>
      <b val="true"/>
      <sz val="14"/>
      <color rgb="FFB388FF"/>
      <name val="Arial"/>
      <family val="0"/>
      <charset val="1"/>
    </font>
    <font>
      <b val="true"/>
      <sz val="14"/>
      <color rgb="FF6B7D8E"/>
      <name val="Arial"/>
      <family val="0"/>
      <charset val="1"/>
    </font>
    <font>
      <i val="true"/>
      <sz val="9"/>
      <color rgb="FFFFB8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55AA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55AA"/>
      <name val="Arial"/>
      <family val="0"/>
      <charset val="1"/>
    </font>
    <font>
      <sz val="10"/>
      <color rgb="FF228B2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DD6600"/>
      <name val="Arial"/>
      <family val="0"/>
      <charset val="1"/>
    </font>
    <font>
      <b val="true"/>
      <sz val="10"/>
      <color rgb="FF228B22"/>
      <name val="Arial"/>
      <family val="0"/>
      <charset val="1"/>
    </font>
    <font>
      <sz val="10"/>
      <color rgb="FF666688"/>
      <name val="Arial"/>
      <family val="0"/>
      <charset val="1"/>
    </font>
    <font>
      <b val="true"/>
      <sz val="11"/>
      <color rgb="FFFFB8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E676"/>
      <name val="Arial"/>
      <family val="0"/>
      <charset val="1"/>
    </font>
    <font>
      <b val="true"/>
      <sz val="11"/>
      <color rgb="FFFF9100"/>
      <name val="Arial"/>
      <family val="0"/>
      <charset val="1"/>
    </font>
    <font>
      <b val="true"/>
      <sz val="12"/>
      <color rgb="FFFF9100"/>
      <name val="Arial"/>
      <family val="0"/>
      <charset val="1"/>
    </font>
    <font>
      <b val="true"/>
      <sz val="12"/>
      <color rgb="FFFF4444"/>
      <name val="Arial"/>
      <family val="0"/>
      <charset val="1"/>
    </font>
    <font>
      <sz val="9"/>
      <color rgb="FFC8C8D8"/>
      <name val="Arial"/>
      <family val="0"/>
      <charset val="1"/>
    </font>
    <font>
      <sz val="10"/>
      <color rgb="FFFF9100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1"/>
      <color rgb="FF00E676"/>
      <name val="Arial"/>
      <family val="0"/>
      <charset val="1"/>
    </font>
    <font>
      <b val="true"/>
      <sz val="12"/>
      <color rgb="FF00D4FF"/>
      <name val="Arial"/>
      <family val="0"/>
      <charset val="1"/>
    </font>
    <font>
      <b val="true"/>
      <sz val="12"/>
      <color rgb="FFB388FF"/>
      <name val="Arial"/>
      <family val="0"/>
      <charset val="1"/>
    </font>
    <font>
      <b val="true"/>
      <sz val="12"/>
      <color rgb="FFFFB800"/>
      <name val="Arial"/>
      <family val="0"/>
      <charset val="1"/>
    </font>
    <font>
      <i val="true"/>
      <sz val="9"/>
      <color rgb="FF6B7D8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838"/>
        <bgColor rgb="FF1A1A2E"/>
      </patternFill>
    </fill>
    <fill>
      <patternFill patternType="solid">
        <fgColor rgb="FF0D1321"/>
        <bgColor rgb="FF1A1A2E"/>
      </patternFill>
    </fill>
    <fill>
      <patternFill patternType="solid">
        <fgColor rgb="FFE8740C"/>
        <bgColor rgb="FFDD6600"/>
      </patternFill>
    </fill>
    <fill>
      <patternFill patternType="solid">
        <fgColor rgb="FFF5F7FA"/>
        <bgColor rgb="FFF0FFF0"/>
      </patternFill>
    </fill>
    <fill>
      <patternFill patternType="solid">
        <fgColor rgb="FFFFFFFF"/>
        <bgColor rgb="FFF5F7FA"/>
      </patternFill>
    </fill>
    <fill>
      <patternFill patternType="solid">
        <fgColor rgb="FF0099BB"/>
        <bgColor rgb="FF00994D"/>
      </patternFill>
    </fill>
    <fill>
      <patternFill patternType="solid">
        <fgColor rgb="FF006600"/>
        <bgColor rgb="FF008000"/>
      </patternFill>
    </fill>
    <fill>
      <patternFill patternType="solid">
        <fgColor rgb="FFF0FFF0"/>
        <bgColor rgb="FFF5F7FA"/>
      </patternFill>
    </fill>
    <fill>
      <patternFill patternType="solid">
        <fgColor rgb="FF7B5EA7"/>
        <bgColor rgb="FF666688"/>
      </patternFill>
    </fill>
    <fill>
      <patternFill patternType="solid">
        <fgColor rgb="FF00994D"/>
        <bgColor rgb="FF228B22"/>
      </patternFill>
    </fill>
    <fill>
      <patternFill patternType="solid">
        <fgColor rgb="FFCC9900"/>
        <bgColor rgb="FFFF9100"/>
      </patternFill>
    </fill>
    <fill>
      <patternFill patternType="solid">
        <fgColor rgb="FF444466"/>
        <bgColor rgb="FF666688"/>
      </patternFill>
    </fill>
    <fill>
      <patternFill patternType="solid">
        <fgColor rgb="FF661111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E8740C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55AA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3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CC6600"/>
          <bgColor rgb="FF000000"/>
        </patternFill>
      </fill>
    </dxf>
    <dxf>
      <font>
        <name val="Arial"/>
        <charset val="1"/>
        <family val="0"/>
        <b val="1"/>
        <color rgb="FFCC0000"/>
        <sz val="10"/>
      </font>
      <fill>
        <patternFill>
          <bgColor rgb="FFFFCCCC"/>
        </patternFill>
      </fill>
    </dxf>
    <dxf>
      <font>
        <name val="Arial"/>
        <charset val="1"/>
        <family val="0"/>
        <b val="1"/>
        <color rgb="FFCC6600"/>
        <sz val="10"/>
      </font>
      <fill>
        <patternFill>
          <bgColor rgb="FFFFF3CC"/>
        </patternFill>
      </fill>
    </dxf>
    <dxf>
      <fill>
        <patternFill patternType="solid">
          <fgColor rgb="FF0099BB"/>
          <bgColor rgb="FF000000"/>
        </patternFill>
      </fill>
    </dxf>
    <dxf>
      <fill>
        <patternFill patternType="solid">
          <fgColor rgb="FF228B22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F0FFF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7B5EA7"/>
          <bgColor rgb="FF000000"/>
        </patternFill>
      </fill>
    </dxf>
    <dxf>
      <fill>
        <patternFill patternType="solid">
          <fgColor rgb="FFDD6600"/>
          <bgColor rgb="FF000000"/>
        </patternFill>
      </fill>
    </dxf>
    <dxf>
      <fill>
        <patternFill patternType="solid">
          <fgColor rgb="FF00994D"/>
          <bgColor rgb="FF000000"/>
        </patternFill>
      </fill>
    </dxf>
    <dxf>
      <fill>
        <patternFill patternType="solid">
          <fgColor rgb="FFCC9900"/>
          <bgColor rgb="FF000000"/>
        </patternFill>
      </fill>
    </dxf>
    <dxf>
      <fill>
        <patternFill patternType="solid">
          <fgColor rgb="FF444466"/>
          <bgColor rgb="FF000000"/>
        </patternFill>
      </fill>
    </dxf>
    <dxf>
      <fill>
        <patternFill patternType="solid">
          <fgColor rgb="FF666688"/>
          <bgColor rgb="FF000000"/>
        </patternFill>
      </fill>
    </dxf>
  </dxfs>
  <colors>
    <indexedColors>
      <rgbColor rgb="FF000000"/>
      <rgbColor rgb="FFFFFFFF"/>
      <rgbColor rgb="FFCC0000"/>
      <rgbColor rgb="FF00E676"/>
      <rgbColor rgb="FF0000FF"/>
      <rgbColor rgb="FFFFFF00"/>
      <rgbColor rgb="FFFF00FF"/>
      <rgbColor rgb="FF00FFFF"/>
      <rgbColor rgb="FF661111"/>
      <rgbColor rgb="FF008000"/>
      <rgbColor rgb="FF000080"/>
      <rgbColor rgb="FFCC9900"/>
      <rgbColor rgb="FF800080"/>
      <rgbColor rgb="FF00994D"/>
      <rgbColor rgb="FFC8C8D8"/>
      <rgbColor rgb="FF6B7D8E"/>
      <rgbColor rgb="FF9999FF"/>
      <rgbColor rgb="FF7B5EA7"/>
      <rgbColor rgb="FFFFF3CC"/>
      <rgbColor rgb="FFF0FFF0"/>
      <rgbColor rgb="FF660066"/>
      <rgbColor rgb="FFFF4444"/>
      <rgbColor rgb="FF0055AA"/>
      <rgbColor rgb="FFCCCCDD"/>
      <rgbColor rgb="FF000080"/>
      <rgbColor rgb="FFFF00FF"/>
      <rgbColor rgb="FFFFFF00"/>
      <rgbColor rgb="FF00FFFF"/>
      <rgbColor rgb="FF800080"/>
      <rgbColor rgb="FF800000"/>
      <rgbColor rgb="FF0099BB"/>
      <rgbColor rgb="FF0000FF"/>
      <rgbColor rgb="FF00D4FF"/>
      <rgbColor rgb="FFF5F7FA"/>
      <rgbColor rgb="FFCCFFCC"/>
      <rgbColor rgb="FFFFFF99"/>
      <rgbColor rgb="FF99CCFF"/>
      <rgbColor rgb="FFFF99CC"/>
      <rgbColor rgb="FFB388FF"/>
      <rgbColor rgb="FFFFCCCC"/>
      <rgbColor rgb="FF006600"/>
      <rgbColor rgb="FF33CCCC"/>
      <rgbColor rgb="FF99CC00"/>
      <rgbColor rgb="FFFFB800"/>
      <rgbColor rgb="FFFF9100"/>
      <rgbColor rgb="FFE8740C"/>
      <rgbColor rgb="FF666688"/>
      <rgbColor rgb="FF969696"/>
      <rgbColor rgb="FF005588"/>
      <rgbColor rgb="FF228B22"/>
      <rgbColor rgb="FF0D1321"/>
      <rgbColor rgb="FF1A1A2E"/>
      <rgbColor rgb="FFCC6600"/>
      <rgbColor rgb="FFDD6600"/>
      <rgbColor rgb="FF444466"/>
      <rgbColor rgb="FF1B2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pply" displayName="tblApply" ref="A1:I11" headerRowCount="1" totalsRowCount="0" totalsRowShown="0">
  <autoFilter ref="A1:I11"/>
  <tableColumns count="9">
    <tableColumn id="1" name="ApplyID"/>
    <tableColumn id="2" name="Date"/>
    <tableColumn id="3" name="PatchID"/>
    <tableColumn id="4" name="ClaimID"/>
    <tableColumn id="5" name="ActionTaken"/>
    <tableColumn id="6" name="Evidence"/>
    <tableColumn id="7" name="VerifiedBy"/>
    <tableColumn id="8" name="ClaimDesc_auto"/>
    <tableColumn id="9" name="PatchCorrection_auto"/>
  </tableColumns>
</table>
</file>

<file path=xl/tables/table2.xml><?xml version="1.0" encoding="utf-8"?>
<table xmlns="http://schemas.openxmlformats.org/spreadsheetml/2006/main" id="2" name="tblChangelog" displayName="tblChangelog" ref="A1:I16" headerRowCount="1" totalsRowCount="0" totalsRowShown="0">
  <autoFilter ref="A1:I16"/>
  <tableColumns count="9">
    <tableColumn id="1" name="EntryNo"/>
    <tableColumn id="2" name="Timestamp"/>
    <tableColumn id="3" name="User"/>
    <tableColumn id="4" name="Tab"/>
    <tableColumn id="5" name="RecordID"/>
    <tableColumn id="6" name="Field"/>
    <tableColumn id="7" name="OldValue"/>
    <tableColumn id="8" name="NewValue"/>
    <tableColumn id="9" name="Reason"/>
  </tableColumns>
</table>
</file>

<file path=xl/tables/table3.xml><?xml version="1.0" encoding="utf-8"?>
<table xmlns="http://schemas.openxmlformats.org/spreadsheetml/2006/main" id="3" name="tblClaims" displayName="tblClaims" ref="A1:L31" headerRowCount="1" totalsRowCount="0" totalsRowShown="0">
  <autoFilter ref="A1:L31"/>
  <tableColumns count="12">
    <tableColumn id="1" name="ClaimID"/>
    <tableColumn id="2" name="Date"/>
    <tableColumn id="3" name="Owner"/>
    <tableColumn id="4" name="Description"/>
    <tableColumn id="5" name="Source"/>
    <tableColumn id="6" name="Status"/>
    <tableColumn id="7" name="LinkedEventIDs"/>
    <tableColumn id="8" name="DaysOpen"/>
    <tableColumn id="9" name="DriftCount"/>
    <tableColumn id="10" name="MaxSeverity"/>
    <tableColumn id="11" name="PatchStatus"/>
    <tableColumn id="12" name="RiskScore"/>
  </tableColumns>
</table>
</file>

<file path=xl/tables/table4.xml><?xml version="1.0" encoding="utf-8"?>
<table xmlns="http://schemas.openxmlformats.org/spreadsheetml/2006/main" id="4" name="tblEvents" displayName="tblEvents" ref="A1:I26" headerRowCount="1" totalsRowCount="0" totalsRowShown="0">
  <autoFilter ref="A1:I26"/>
  <tableColumns count="9">
    <tableColumn id="1" name="EventID"/>
    <tableColumn id="2" name="Date"/>
    <tableColumn id="3" name="ClaimID"/>
    <tableColumn id="4" name="Observer"/>
    <tableColumn id="5" name="WhatHappened"/>
    <tableColumn id="6" name="Evidence"/>
    <tableColumn id="7" name="Deviation"/>
    <tableColumn id="8" name="ClaimDesc_auto"/>
    <tableColumn id="9" name="ClaimSource_auto"/>
  </tableColumns>
</table>
</file>

<file path=xl/tables/table5.xml><?xml version="1.0" encoding="utf-8"?>
<table xmlns="http://schemas.openxmlformats.org/spreadsheetml/2006/main" id="5" name="tblPatches" displayName="tblPatches" ref="A1:J16" headerRowCount="1" totalsRowCount="0" totalsRowShown="0">
  <autoFilter ref="A1:J16"/>
  <tableColumns count="10">
    <tableColumn id="1" name="PatchID"/>
    <tableColumn id="2" name="Date"/>
    <tableColumn id="3" name="ReviewID"/>
    <tableColumn id="4" name="ClaimID"/>
    <tableColumn id="5" name="Correction"/>
    <tableColumn id="6" name="Rationale"/>
    <tableColumn id="7" name="Approver"/>
    <tableColumn id="8" name="Status"/>
    <tableColumn id="9" name="ClaimDesc_auto"/>
    <tableColumn id="10" name="ReviewFinding_auto"/>
  </tableColumns>
</table>
</file>

<file path=xl/tables/table6.xml><?xml version="1.0" encoding="utf-8"?>
<table xmlns="http://schemas.openxmlformats.org/spreadsheetml/2006/main" id="6" name="tblReviews" displayName="tblReviews" ref="A1:J21" headerRowCount="1" totalsRowCount="0" totalsRowShown="0">
  <autoFilter ref="A1:J21"/>
  <tableColumns count="10">
    <tableColumn id="1" name="ReviewID"/>
    <tableColumn id="2" name="Date"/>
    <tableColumn id="3" name="ClaimID"/>
    <tableColumn id="4" name="EventID"/>
    <tableColumn id="5" name="Finding"/>
    <tableColumn id="6" name="DriftDetected"/>
    <tableColumn id="7" name="Severity"/>
    <tableColumn id="8" name="Reviewer"/>
    <tableColumn id="9" name="ClaimDesc_auto"/>
    <tableColumn id="10" name="DaysSinceEv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K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11" min="9" style="0" width="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.45" hidden="false" customHeight="false" outlineLevel="0" collapsed="false">
      <c r="A3" s="3" t="s">
        <v>1</v>
      </c>
      <c r="B3" s="4" t="n">
        <f aca="false">COUNTA(tblClaims[ClaimID])</f>
        <v>30</v>
      </c>
      <c r="C3" s="2"/>
      <c r="D3" s="5" t="n">
        <f aca="false">COUNTA(tblEvents[EventID])</f>
        <v>25</v>
      </c>
      <c r="E3" s="2"/>
      <c r="F3" s="6" t="n">
        <f aca="false">COUNTA(tblReviews[ReviewID])</f>
        <v>20</v>
      </c>
      <c r="G3" s="2"/>
      <c r="H3" s="7" t="n">
        <f aca="false">COUNTA(tblPatches[PatchID])</f>
        <v>15</v>
      </c>
      <c r="I3" s="2"/>
      <c r="J3" s="8" t="n">
        <f aca="false">COUNTA(tblApply[ApplyID])</f>
        <v>10</v>
      </c>
      <c r="K3" s="2"/>
    </row>
    <row r="4" customFormat="false" ht="22.35" hidden="false" customHeight="false" outlineLevel="0" collapsed="false">
      <c r="A4" s="2"/>
      <c r="B4" s="9" t="s">
        <v>2</v>
      </c>
      <c r="C4" s="2"/>
      <c r="D4" s="9" t="s">
        <v>3</v>
      </c>
      <c r="E4" s="2"/>
      <c r="F4" s="9" t="s">
        <v>4</v>
      </c>
      <c r="G4" s="2"/>
      <c r="H4" s="9" t="s">
        <v>5</v>
      </c>
      <c r="I4" s="2"/>
      <c r="J4" s="9" t="s">
        <v>6</v>
      </c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3" t="s">
        <v>7</v>
      </c>
      <c r="B6" s="2"/>
      <c r="C6" s="2"/>
      <c r="D6" s="2"/>
      <c r="E6" s="2"/>
      <c r="F6" s="2"/>
      <c r="G6" s="3" t="s">
        <v>8</v>
      </c>
      <c r="H6" s="2"/>
      <c r="I6" s="2"/>
      <c r="J6" s="2"/>
      <c r="K6" s="2"/>
    </row>
    <row r="7" customFormat="false" ht="17.35" hidden="false" customHeight="false" outlineLevel="0" collapsed="false">
      <c r="A7" s="10" t="s">
        <v>9</v>
      </c>
      <c r="B7" s="11" t="n">
        <f aca="false">COUNTIF(tblReviews[DriftDetected],"Y")</f>
        <v>11</v>
      </c>
      <c r="C7" s="2"/>
      <c r="D7" s="10" t="s">
        <v>10</v>
      </c>
      <c r="E7" s="11" t="n">
        <f aca="false">COUNTIF(tblEvents[Deviation],"Y")</f>
        <v>17</v>
      </c>
      <c r="F7" s="2"/>
      <c r="G7" s="10" t="s">
        <v>11</v>
      </c>
      <c r="H7" s="12" t="n">
        <f aca="false">COUNTIF(tblReviews[Severity],"Critical")</f>
        <v>3</v>
      </c>
      <c r="I7" s="2"/>
      <c r="J7" s="2"/>
      <c r="K7" s="2"/>
    </row>
    <row r="8" customFormat="false" ht="17.35" hidden="false" customHeight="false" outlineLevel="0" collapsed="false">
      <c r="A8" s="10" t="s">
        <v>12</v>
      </c>
      <c r="B8" s="13" t="n">
        <f aca="false">COUNTIF(tblReviews[DriftDetected],"N")</f>
        <v>9</v>
      </c>
      <c r="C8" s="2"/>
      <c r="D8" s="10" t="s">
        <v>13</v>
      </c>
      <c r="E8" s="13" t="n">
        <f aca="false">COUNTIF(tblEvents[Deviation],"N")</f>
        <v>8</v>
      </c>
      <c r="F8" s="2"/>
      <c r="G8" s="10" t="s">
        <v>14</v>
      </c>
      <c r="H8" s="14" t="n">
        <f aca="false">COUNTIF(tblReviews[Severity],"High")</f>
        <v>4</v>
      </c>
      <c r="I8" s="2"/>
      <c r="J8" s="2"/>
      <c r="K8" s="2"/>
    </row>
    <row r="9" customFormat="false" ht="17.35" hidden="false" customHeight="false" outlineLevel="0" collapsed="false">
      <c r="A9" s="10" t="s">
        <v>15</v>
      </c>
      <c r="B9" s="15" t="n">
        <f aca="false">IF(B7+B8&gt;0,B7/(B7+B8),0)</f>
        <v>0.55</v>
      </c>
      <c r="C9" s="2"/>
      <c r="D9" s="10" t="s">
        <v>16</v>
      </c>
      <c r="E9" s="15" t="n">
        <f aca="false">IF(E7+E8&gt;0,E7/(E7+E8),0)</f>
        <v>0.68</v>
      </c>
      <c r="F9" s="2"/>
      <c r="G9" s="10" t="s">
        <v>17</v>
      </c>
      <c r="H9" s="16" t="n">
        <f aca="false">COUNTIF(tblReviews[Severity],"Medium")</f>
        <v>6</v>
      </c>
      <c r="I9" s="2"/>
      <c r="J9" s="2"/>
      <c r="K9" s="2"/>
    </row>
    <row r="10" customFormat="false" ht="17.35" hidden="false" customHeight="false" outlineLevel="0" collapsed="false">
      <c r="A10" s="2"/>
      <c r="B10" s="2"/>
      <c r="C10" s="2"/>
      <c r="D10" s="2"/>
      <c r="E10" s="2"/>
      <c r="F10" s="2"/>
      <c r="G10" s="10" t="s">
        <v>18</v>
      </c>
      <c r="H10" s="17" t="n">
        <f aca="false">COUNTIF(tblReviews[Severity],"Low")</f>
        <v>7</v>
      </c>
      <c r="I10" s="2"/>
      <c r="J10" s="2"/>
      <c r="K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18" t="s">
        <v>19</v>
      </c>
      <c r="B12" s="2"/>
      <c r="C12" s="2"/>
      <c r="D12" s="3" t="s">
        <v>20</v>
      </c>
      <c r="E12" s="2"/>
      <c r="F12" s="2"/>
      <c r="G12" s="3" t="s">
        <v>21</v>
      </c>
      <c r="H12" s="2"/>
      <c r="I12" s="2"/>
      <c r="J12" s="2"/>
      <c r="K12" s="2"/>
    </row>
    <row r="13" customFormat="false" ht="17.35" hidden="false" customHeight="false" outlineLevel="0" collapsed="false">
      <c r="A13" s="10" t="s">
        <v>22</v>
      </c>
      <c r="B13" s="12" t="n">
        <f aca="false">COUNTIF(tblClaims[RiskScore],"&gt;"&amp;60)</f>
        <v>6</v>
      </c>
      <c r="C13" s="2"/>
      <c r="D13" s="10" t="s">
        <v>23</v>
      </c>
      <c r="E13" s="19" t="n">
        <f aca="false">COUNTIF(tblClaims[Status],"Open")</f>
        <v>18</v>
      </c>
      <c r="F13" s="2"/>
      <c r="G13" s="10" t="s">
        <v>24</v>
      </c>
      <c r="H13" s="20" t="n">
        <f aca="false">IF(COUNTA(tblClaims[ClaimID])&gt;0,COUNTA(tblEvents[EventID])/COUNTA(tblClaims[ClaimID]),0)</f>
        <v>0.833333333333333</v>
      </c>
      <c r="I13" s="2"/>
      <c r="J13" s="2"/>
      <c r="K13" s="2"/>
    </row>
    <row r="14" customFormat="false" ht="17.35" hidden="false" customHeight="false" outlineLevel="0" collapsed="false">
      <c r="A14" s="10" t="s">
        <v>25</v>
      </c>
      <c r="B14" s="14" t="n">
        <f aca="false">COUNTIFS(tblClaims[RiskScore],"&gt;"&amp;30,tblClaims[RiskScore],"&lt;="&amp;60)</f>
        <v>20</v>
      </c>
      <c r="C14" s="2"/>
      <c r="D14" s="10" t="s">
        <v>26</v>
      </c>
      <c r="E14" s="14" t="n">
        <f aca="false">COUNTIF(tblClaims[Status],"Under Review")</f>
        <v>4</v>
      </c>
      <c r="F14" s="2"/>
      <c r="G14" s="10" t="s">
        <v>27</v>
      </c>
      <c r="H14" s="21" t="n">
        <f aca="false">IF(COUNTA(tblEvents[EventID])&gt;0,COUNTA(tblReviews[ReviewID])/COUNTA(tblEvents[EventID]),0)</f>
        <v>0.8</v>
      </c>
      <c r="I14" s="2"/>
      <c r="J14" s="2"/>
      <c r="K14" s="2"/>
    </row>
    <row r="15" customFormat="false" ht="17.35" hidden="false" customHeight="false" outlineLevel="0" collapsed="false">
      <c r="A15" s="10" t="s">
        <v>28</v>
      </c>
      <c r="B15" s="17" t="n">
        <f aca="false">COUNTIFS(tblClaims[RiskScore],"&gt;="&amp;0,tblClaims[RiskScore],"&lt;="&amp;30)</f>
        <v>4</v>
      </c>
      <c r="C15" s="2"/>
      <c r="D15" s="10" t="s">
        <v>29</v>
      </c>
      <c r="E15" s="17" t="n">
        <f aca="false">COUNTIF(tblClaims[Status],"Patched")</f>
        <v>4</v>
      </c>
      <c r="F15" s="2"/>
      <c r="G15" s="10" t="s">
        <v>30</v>
      </c>
      <c r="H15" s="22" t="n">
        <f aca="false">IF(COUNTIF(tblReviews[DriftDetected],"Y")&gt;0,COUNTA(tblPatches[PatchID])/COUNTIF(tblReviews[DriftDetected],"Y"),0)</f>
        <v>1.36363636363636</v>
      </c>
      <c r="I15" s="2"/>
      <c r="J15" s="2"/>
      <c r="K15" s="2"/>
    </row>
    <row r="16" customFormat="false" ht="17.35" hidden="false" customHeight="false" outlineLevel="0" collapsed="false">
      <c r="A16" s="10" t="s">
        <v>31</v>
      </c>
      <c r="B16" s="23" t="n">
        <f aca="false">IFERROR(AVERAGEIF(tblClaims[Status],"&lt;&gt;Closed",tblClaims[RiskScore]),"—")</f>
        <v>51.7538461538462</v>
      </c>
      <c r="C16" s="2"/>
      <c r="D16" s="10" t="s">
        <v>32</v>
      </c>
      <c r="E16" s="24" t="n">
        <f aca="false">COUNTIF(tblClaims[Status],"Closed")</f>
        <v>4</v>
      </c>
      <c r="F16" s="2"/>
      <c r="G16" s="10" t="s">
        <v>33</v>
      </c>
      <c r="H16" s="25" t="n">
        <f aca="false">IF(COUNTA(tblPatches[PatchID])&gt;0,COUNTA(tblApply[ApplyID])/COUNTA(tblPatches[PatchID]),0)</f>
        <v>0.666666666666667</v>
      </c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18" t="s">
        <v>34</v>
      </c>
      <c r="B18" s="2"/>
      <c r="C18" s="2"/>
      <c r="D18" s="3" t="s">
        <v>35</v>
      </c>
      <c r="E18" s="2"/>
      <c r="F18" s="2"/>
      <c r="G18" s="3" t="s">
        <v>36</v>
      </c>
      <c r="H18" s="2"/>
      <c r="I18" s="2"/>
      <c r="J18" s="2"/>
      <c r="K18" s="2"/>
    </row>
    <row r="19" customFormat="false" ht="17.35" hidden="false" customHeight="false" outlineLevel="0" collapsed="false">
      <c r="A19" s="10" t="s">
        <v>37</v>
      </c>
      <c r="B19" s="12" t="n">
        <f aca="false">COUNTIFS(tblClaims[Status],"&lt;&gt;Closed",tblClaims[DaysOpen],"&gt;"&amp;30)</f>
        <v>26</v>
      </c>
      <c r="C19" s="2"/>
      <c r="D19" s="10" t="s">
        <v>38</v>
      </c>
      <c r="E19" s="26" t="n">
        <f aca="false">IFERROR(AVERAGE(Reviews!J2:J21),"—")</f>
        <v>31.45</v>
      </c>
      <c r="F19" s="2"/>
      <c r="G19" s="10" t="s">
        <v>39</v>
      </c>
      <c r="H19" s="16" t="n">
        <f aca="false">COUNTA(tblChangelog[EntryNo])</f>
        <v>15</v>
      </c>
      <c r="I19" s="2"/>
      <c r="J19" s="2"/>
      <c r="K19" s="2"/>
    </row>
    <row r="20" customFormat="false" ht="17.35" hidden="false" customHeight="false" outlineLevel="0" collapsed="false">
      <c r="A20" s="10" t="s">
        <v>40</v>
      </c>
      <c r="B20" s="12" t="n">
        <f aca="false">COUNTIFS(tblClaims[Status],"&lt;&gt;Closed",tblClaims[DaysOpen],"&gt;"&amp;60)</f>
        <v>26</v>
      </c>
      <c r="C20" s="2"/>
      <c r="D20" s="10" t="s">
        <v>41</v>
      </c>
      <c r="E20" s="11" t="n">
        <f aca="false">COUNTIFS(tblPatches[Status],"Pending",tblPatches[Date],"&lt;"&amp;TODAY()-14)</f>
        <v>4</v>
      </c>
      <c r="F20" s="2"/>
      <c r="G20" s="2"/>
      <c r="H20" s="2"/>
      <c r="I20" s="2"/>
      <c r="J20" s="2"/>
      <c r="K20" s="2"/>
    </row>
    <row r="21" customFormat="false" ht="17.35" hidden="false" customHeight="false" outlineLevel="0" collapsed="false">
      <c r="A21" s="10" t="s">
        <v>42</v>
      </c>
      <c r="B21" s="12" t="n">
        <f aca="false">COUNTIFS(tblClaims[Status],"&lt;&gt;Closed",tblClaims[DaysOpen],"&gt;"&amp;90)</f>
        <v>26</v>
      </c>
      <c r="C21" s="2"/>
      <c r="D21" s="10" t="s">
        <v>43</v>
      </c>
      <c r="E21" s="25" t="n">
        <f aca="false">IF(COUNTA(tblClaims[ClaimID])&gt;0,COUNTA(tblApply[ApplyID])/COUNTA(tblClaims[ClaimID]),0)</f>
        <v>0.333333333333333</v>
      </c>
      <c r="F21" s="2"/>
      <c r="G21" s="2"/>
      <c r="H21" s="2"/>
      <c r="I21" s="2"/>
      <c r="J21" s="2"/>
      <c r="K21" s="2"/>
    </row>
    <row r="22" customFormat="false" ht="17.35" hidden="false" customHeight="false" outlineLevel="0" collapsed="false">
      <c r="A22" s="10" t="s">
        <v>44</v>
      </c>
      <c r="B22" s="23" t="n">
        <f aca="false">IFERROR(AVERAGEIF(tblClaims[Status],"&lt;&gt;Closed",tblClaims[DaysOpen]),"—")</f>
        <v>155.153846153846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7" t="s">
        <v>45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 count="2">
    <mergeCell ref="A1:K1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100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6.85" hidden="false" customHeight="false" outlineLevel="0" collapsed="false">
      <c r="A1" s="28" t="s">
        <v>46</v>
      </c>
      <c r="B1" s="28" t="s">
        <v>47</v>
      </c>
      <c r="C1" s="28" t="s">
        <v>48</v>
      </c>
      <c r="D1" s="28" t="s">
        <v>49</v>
      </c>
      <c r="E1" s="28" t="s">
        <v>50</v>
      </c>
      <c r="F1" s="28" t="s">
        <v>51</v>
      </c>
      <c r="G1" s="28" t="s">
        <v>52</v>
      </c>
      <c r="H1" s="28" t="s">
        <v>53</v>
      </c>
      <c r="I1" s="28" t="s">
        <v>54</v>
      </c>
      <c r="J1" s="28" t="s">
        <v>55</v>
      </c>
      <c r="K1" s="28" t="s">
        <v>56</v>
      </c>
      <c r="L1" s="28" t="s">
        <v>57</v>
      </c>
    </row>
    <row r="2" customFormat="false" ht="23.85" hidden="false" customHeight="false" outlineLevel="0" collapsed="false">
      <c r="A2" s="29" t="s">
        <v>58</v>
      </c>
      <c r="B2" s="30" t="n">
        <v>45941</v>
      </c>
      <c r="C2" s="31" t="s">
        <v>59</v>
      </c>
      <c r="D2" s="31" t="s">
        <v>60</v>
      </c>
      <c r="E2" s="31" t="s">
        <v>61</v>
      </c>
      <c r="F2" s="31" t="s">
        <v>23</v>
      </c>
      <c r="G2" s="31" t="s">
        <v>62</v>
      </c>
      <c r="H2" s="32" t="n">
        <f aca="true">IF(F2="Closed","—",TODAY()-B2)</f>
        <v>152</v>
      </c>
      <c r="I2" s="33" t="n">
        <f aca="false">COUNTIFS(Reviews!C:C,A2,Reviews!F:F,"Y")</f>
        <v>0</v>
      </c>
      <c r="J2" s="33" t="n">
        <f aca="false">IFERROR(MAX(COUNTIFS(Reviews!C:C,A2,Reviews!G:G,"Critical")*4,COUNTIFS(Reviews!C:C,A2,Reviews!G:G,"High")*3,COUNTIFS(Reviews!C:C,A2,Reviews!G:G,"Medium")*2,COUNTIFS(Reviews!C:C,A2,Reviews!G:G,"Low")*1),0)</f>
        <v>4</v>
      </c>
      <c r="K2" s="34" t="str">
        <f aca="false">IF(COUNTIFS(Patches!D:D,A2,Patches!H:H,"Applied")&gt;0,"Applied",IF(COUNTIFS(Patches!D:D,A2,Patches!H:H,"Approved")&gt;0,"Approved",IF(COUNTIFS(Patches!D:D,A2,Patches!H:H,"Pending")&gt;0,"Pending","None")))</f>
        <v>Applied</v>
      </c>
      <c r="L2" s="35" t="n">
        <f aca="false">IF(F2="Closed",0,ROUND(MIN(IF(ISNUMBER(H2),H2,0),90)/90*25 + MIN(I2,5)/5*30 + J2/4*25 + IF(OR(K2="None",K2="Pending"),20,IF(K2="Approved",10,0)),1))</f>
        <v>50</v>
      </c>
    </row>
    <row r="3" customFormat="false" ht="23.85" hidden="false" customHeight="false" outlineLevel="0" collapsed="false">
      <c r="A3" s="36" t="s">
        <v>63</v>
      </c>
      <c r="B3" s="37" t="n">
        <v>45931</v>
      </c>
      <c r="C3" s="38" t="s">
        <v>64</v>
      </c>
      <c r="D3" s="38" t="s">
        <v>65</v>
      </c>
      <c r="E3" s="38" t="s">
        <v>66</v>
      </c>
      <c r="F3" s="38" t="s">
        <v>32</v>
      </c>
      <c r="G3" s="38" t="s">
        <v>67</v>
      </c>
      <c r="H3" s="39" t="str">
        <f aca="true">IF(F3="Closed","—",TODAY()-B3)</f>
        <v>—</v>
      </c>
      <c r="I3" s="40" t="n">
        <f aca="false">COUNTIFS(Reviews!C:C,A3,Reviews!F:F,"Y")</f>
        <v>1</v>
      </c>
      <c r="J3" s="40" t="n">
        <f aca="false">IFERROR(MAX(COUNTIFS(Reviews!C:C,A3,Reviews!G:G,"Critical")*4,COUNTIFS(Reviews!C:C,A3,Reviews!G:G,"High")*3,COUNTIFS(Reviews!C:C,A3,Reviews!G:G,"Medium")*2,COUNTIFS(Reviews!C:C,A3,Reviews!G:G,"Low")*1),0)</f>
        <v>1</v>
      </c>
      <c r="K3" s="41" t="str">
        <f aca="false">IF(COUNTIFS(Patches!D:D,A3,Patches!H:H,"Applied")&gt;0,"Applied",IF(COUNTIFS(Patches!D:D,A3,Patches!H:H,"Approved")&gt;0,"Approved",IF(COUNTIFS(Patches!D:D,A3,Patches!H:H,"Pending")&gt;0,"Pending","None")))</f>
        <v>Pending</v>
      </c>
      <c r="L3" s="42" t="n">
        <f aca="false">IF(F3="Closed",0,ROUND(MIN(IF(ISNUMBER(H3),H3,0),90)/90*25 + MIN(I3,5)/5*30 + J3/4*25 + IF(OR(K3="None",K3="Pending"),20,IF(K3="Approved",10,0)),1))</f>
        <v>0</v>
      </c>
    </row>
    <row r="4" customFormat="false" ht="23.85" hidden="false" customHeight="false" outlineLevel="0" collapsed="false">
      <c r="A4" s="29" t="s">
        <v>68</v>
      </c>
      <c r="B4" s="30" t="n">
        <v>45935</v>
      </c>
      <c r="C4" s="31" t="s">
        <v>69</v>
      </c>
      <c r="D4" s="31" t="s">
        <v>70</v>
      </c>
      <c r="E4" s="31" t="s">
        <v>71</v>
      </c>
      <c r="F4" s="31" t="s">
        <v>23</v>
      </c>
      <c r="G4" s="31" t="s">
        <v>72</v>
      </c>
      <c r="H4" s="32" t="n">
        <f aca="true">IF(F4="Closed","—",TODAY()-B4)</f>
        <v>158</v>
      </c>
      <c r="I4" s="33" t="n">
        <f aca="false">COUNTIFS(Reviews!C:C,A4,Reviews!F:F,"Y")</f>
        <v>1</v>
      </c>
      <c r="J4" s="33" t="n">
        <f aca="false">IFERROR(MAX(COUNTIFS(Reviews!C:C,A4,Reviews!G:G,"Critical")*4,COUNTIFS(Reviews!C:C,A4,Reviews!G:G,"High")*3,COUNTIFS(Reviews!C:C,A4,Reviews!G:G,"Medium")*2,COUNTIFS(Reviews!C:C,A4,Reviews!G:G,"Low")*1),0)</f>
        <v>3</v>
      </c>
      <c r="K4" s="34" t="str">
        <f aca="false">IF(COUNTIFS(Patches!D:D,A4,Patches!H:H,"Applied")&gt;0,"Applied",IF(COUNTIFS(Patches!D:D,A4,Patches!H:H,"Approved")&gt;0,"Approved",IF(COUNTIFS(Patches!D:D,A4,Patches!H:H,"Pending")&gt;0,"Pending","None")))</f>
        <v>Approved</v>
      </c>
      <c r="L4" s="35" t="n">
        <f aca="false">IF(F4="Closed",0,ROUND(MIN(IF(ISNUMBER(H4),H4,0),90)/90*25 + MIN(I4,5)/5*30 + J4/4*25 + IF(OR(K4="None",K4="Pending"),20,IF(K4="Approved",10,0)),1))</f>
        <v>59.8</v>
      </c>
    </row>
    <row r="5" customFormat="false" ht="23.85" hidden="false" customHeight="false" outlineLevel="0" collapsed="false">
      <c r="A5" s="36" t="s">
        <v>73</v>
      </c>
      <c r="B5" s="37" t="n">
        <v>45934</v>
      </c>
      <c r="C5" s="38" t="s">
        <v>74</v>
      </c>
      <c r="D5" s="38" t="s">
        <v>75</v>
      </c>
      <c r="E5" s="38" t="s">
        <v>76</v>
      </c>
      <c r="F5" s="38" t="s">
        <v>23</v>
      </c>
      <c r="G5" s="38" t="s">
        <v>77</v>
      </c>
      <c r="H5" s="39" t="n">
        <f aca="true">IF(F5="Closed","—",TODAY()-B5)</f>
        <v>159</v>
      </c>
      <c r="I5" s="40" t="n">
        <f aca="false">COUNTIFS(Reviews!C:C,A5,Reviews!F:F,"Y")</f>
        <v>1</v>
      </c>
      <c r="J5" s="40" t="n">
        <f aca="false">IFERROR(MAX(COUNTIFS(Reviews!C:C,A5,Reviews!G:G,"Critical")*4,COUNTIFS(Reviews!C:C,A5,Reviews!G:G,"High")*3,COUNTIFS(Reviews!C:C,A5,Reviews!G:G,"Medium")*2,COUNTIFS(Reviews!C:C,A5,Reviews!G:G,"Low")*1),0)</f>
        <v>1</v>
      </c>
      <c r="K5" s="41" t="str">
        <f aca="false">IF(COUNTIFS(Patches!D:D,A5,Patches!H:H,"Applied")&gt;0,"Applied",IF(COUNTIFS(Patches!D:D,A5,Patches!H:H,"Approved")&gt;0,"Approved",IF(COUNTIFS(Patches!D:D,A5,Patches!H:H,"Pending")&gt;0,"Pending","None")))</f>
        <v>Approved</v>
      </c>
      <c r="L5" s="42" t="n">
        <f aca="false">IF(F5="Closed",0,ROUND(MIN(IF(ISNUMBER(H5),H5,0),90)/90*25 + MIN(I5,5)/5*30 + J5/4*25 + IF(OR(K5="None",K5="Pending"),20,IF(K5="Approved",10,0)),1))</f>
        <v>47.3</v>
      </c>
    </row>
    <row r="6" customFormat="false" ht="23.85" hidden="false" customHeight="false" outlineLevel="0" collapsed="false">
      <c r="A6" s="29" t="s">
        <v>78</v>
      </c>
      <c r="B6" s="30" t="n">
        <v>45942</v>
      </c>
      <c r="C6" s="31" t="s">
        <v>79</v>
      </c>
      <c r="D6" s="31" t="s">
        <v>80</v>
      </c>
      <c r="E6" s="31" t="s">
        <v>81</v>
      </c>
      <c r="F6" s="31" t="s">
        <v>23</v>
      </c>
      <c r="G6" s="31" t="s">
        <v>82</v>
      </c>
      <c r="H6" s="32" t="n">
        <f aca="true">IF(F6="Closed","—",TODAY()-B6)</f>
        <v>151</v>
      </c>
      <c r="I6" s="33" t="n">
        <f aca="false">COUNTIFS(Reviews!C:C,A6,Reviews!F:F,"Y")</f>
        <v>0</v>
      </c>
      <c r="J6" s="33" t="n">
        <f aca="false">IFERROR(MAX(COUNTIFS(Reviews!C:C,A6,Reviews!G:G,"Critical")*4,COUNTIFS(Reviews!C:C,A6,Reviews!G:G,"High")*3,COUNTIFS(Reviews!C:C,A6,Reviews!G:G,"Medium")*2,COUNTIFS(Reviews!C:C,A6,Reviews!G:G,"Low")*1),0)</f>
        <v>2</v>
      </c>
      <c r="K6" s="34" t="str">
        <f aca="false">IF(COUNTIFS(Patches!D:D,A6,Patches!H:H,"Applied")&gt;0,"Applied",IF(COUNTIFS(Patches!D:D,A6,Patches!H:H,"Approved")&gt;0,"Approved",IF(COUNTIFS(Patches!D:D,A6,Patches!H:H,"Pending")&gt;0,"Pending","None")))</f>
        <v>Applied</v>
      </c>
      <c r="L6" s="35" t="n">
        <f aca="false">IF(F6="Closed",0,ROUND(MIN(IF(ISNUMBER(H6),H6,0),90)/90*25 + MIN(I6,5)/5*30 + J6/4*25 + IF(OR(K6="None",K6="Pending"),20,IF(K6="Approved",10,0)),1))</f>
        <v>37.5</v>
      </c>
    </row>
    <row r="7" customFormat="false" ht="23.85" hidden="false" customHeight="false" outlineLevel="0" collapsed="false">
      <c r="A7" s="36" t="s">
        <v>83</v>
      </c>
      <c r="B7" s="37" t="n">
        <v>45941</v>
      </c>
      <c r="C7" s="38" t="s">
        <v>59</v>
      </c>
      <c r="D7" s="38" t="s">
        <v>84</v>
      </c>
      <c r="E7" s="38" t="s">
        <v>85</v>
      </c>
      <c r="F7" s="38" t="s">
        <v>32</v>
      </c>
      <c r="G7" s="38" t="s">
        <v>86</v>
      </c>
      <c r="H7" s="39" t="str">
        <f aca="true">IF(F7="Closed","—",TODAY()-B7)</f>
        <v>—</v>
      </c>
      <c r="I7" s="40" t="n">
        <f aca="false">COUNTIFS(Reviews!C:C,A7,Reviews!F:F,"Y")</f>
        <v>1</v>
      </c>
      <c r="J7" s="40" t="n">
        <f aca="false">IFERROR(MAX(COUNTIFS(Reviews!C:C,A7,Reviews!G:G,"Critical")*4,COUNTIFS(Reviews!C:C,A7,Reviews!G:G,"High")*3,COUNTIFS(Reviews!C:C,A7,Reviews!G:G,"Medium")*2,COUNTIFS(Reviews!C:C,A7,Reviews!G:G,"Low")*1),0)</f>
        <v>3</v>
      </c>
      <c r="K7" s="41" t="str">
        <f aca="false">IF(COUNTIFS(Patches!D:D,A7,Patches!H:H,"Applied")&gt;0,"Applied",IF(COUNTIFS(Patches!D:D,A7,Patches!H:H,"Approved")&gt;0,"Approved",IF(COUNTIFS(Patches!D:D,A7,Patches!H:H,"Pending")&gt;0,"Pending","None")))</f>
        <v>Approved</v>
      </c>
      <c r="L7" s="42" t="n">
        <f aca="false">IF(F7="Closed",0,ROUND(MIN(IF(ISNUMBER(H7),H7,0),90)/90*25 + MIN(I7,5)/5*30 + J7/4*25 + IF(OR(K7="None",K7="Pending"),20,IF(K7="Approved",10,0)),1))</f>
        <v>0</v>
      </c>
    </row>
    <row r="8" customFormat="false" ht="23.85" hidden="false" customHeight="false" outlineLevel="0" collapsed="false">
      <c r="A8" s="29" t="s">
        <v>87</v>
      </c>
      <c r="B8" s="30" t="n">
        <v>45945</v>
      </c>
      <c r="C8" s="31" t="s">
        <v>64</v>
      </c>
      <c r="D8" s="31" t="s">
        <v>88</v>
      </c>
      <c r="E8" s="31" t="s">
        <v>89</v>
      </c>
      <c r="F8" s="31" t="s">
        <v>29</v>
      </c>
      <c r="G8" s="31" t="s">
        <v>90</v>
      </c>
      <c r="H8" s="32" t="n">
        <f aca="true">IF(F8="Closed","—",TODAY()-B8)</f>
        <v>148</v>
      </c>
      <c r="I8" s="33" t="n">
        <f aca="false">COUNTIFS(Reviews!C:C,A8,Reviews!F:F,"Y")</f>
        <v>1</v>
      </c>
      <c r="J8" s="33" t="n">
        <f aca="false">IFERROR(MAX(COUNTIFS(Reviews!C:C,A8,Reviews!G:G,"Critical")*4,COUNTIFS(Reviews!C:C,A8,Reviews!G:G,"High")*3,COUNTIFS(Reviews!C:C,A8,Reviews!G:G,"Medium")*2,COUNTIFS(Reviews!C:C,A8,Reviews!G:G,"Low")*1),0)</f>
        <v>1</v>
      </c>
      <c r="K8" s="34" t="str">
        <f aca="false">IF(COUNTIFS(Patches!D:D,A8,Patches!H:H,"Applied")&gt;0,"Applied",IF(COUNTIFS(Patches!D:D,A8,Patches!H:H,"Approved")&gt;0,"Approved",IF(COUNTIFS(Patches!D:D,A8,Patches!H:H,"Pending")&gt;0,"Pending","None")))</f>
        <v>Approved</v>
      </c>
      <c r="L8" s="35" t="n">
        <f aca="false">IF(F8="Closed",0,ROUND(MIN(IF(ISNUMBER(H8),H8,0),90)/90*25 + MIN(I8,5)/5*30 + J8/4*25 + IF(OR(K8="None",K8="Pending"),20,IF(K8="Approved",10,0)),1))</f>
        <v>47.3</v>
      </c>
    </row>
    <row r="9" customFormat="false" ht="23.85" hidden="false" customHeight="false" outlineLevel="0" collapsed="false">
      <c r="A9" s="36" t="s">
        <v>91</v>
      </c>
      <c r="B9" s="37" t="n">
        <v>45932</v>
      </c>
      <c r="C9" s="38" t="s">
        <v>69</v>
      </c>
      <c r="D9" s="38" t="s">
        <v>92</v>
      </c>
      <c r="E9" s="38" t="s">
        <v>93</v>
      </c>
      <c r="F9" s="38" t="s">
        <v>29</v>
      </c>
      <c r="G9" s="38" t="s">
        <v>94</v>
      </c>
      <c r="H9" s="39" t="n">
        <f aca="true">IF(F9="Closed","—",TODAY()-B9)</f>
        <v>161</v>
      </c>
      <c r="I9" s="40" t="n">
        <f aca="false">COUNTIFS(Reviews!C:C,A9,Reviews!F:F,"Y")</f>
        <v>1</v>
      </c>
      <c r="J9" s="40" t="n">
        <f aca="false">IFERROR(MAX(COUNTIFS(Reviews!C:C,A9,Reviews!G:G,"Critical")*4,COUNTIFS(Reviews!C:C,A9,Reviews!G:G,"High")*3,COUNTIFS(Reviews!C:C,A9,Reviews!G:G,"Medium")*2,COUNTIFS(Reviews!C:C,A9,Reviews!G:G,"Low")*1),0)</f>
        <v>2</v>
      </c>
      <c r="K9" s="41" t="str">
        <f aca="false">IF(COUNTIFS(Patches!D:D,A9,Patches!H:H,"Applied")&gt;0,"Applied",IF(COUNTIFS(Patches!D:D,A9,Patches!H:H,"Approved")&gt;0,"Approved",IF(COUNTIFS(Patches!D:D,A9,Patches!H:H,"Pending")&gt;0,"Pending","None")))</f>
        <v>Pending</v>
      </c>
      <c r="L9" s="42" t="n">
        <f aca="false">IF(F9="Closed",0,ROUND(MIN(IF(ISNUMBER(H9),H9,0),90)/90*25 + MIN(I9,5)/5*30 + J9/4*25 + IF(OR(K9="None",K9="Pending"),20,IF(K9="Approved",10,0)),1))</f>
        <v>63.5</v>
      </c>
    </row>
    <row r="10" customFormat="false" ht="23.85" hidden="false" customHeight="false" outlineLevel="0" collapsed="false">
      <c r="A10" s="29" t="s">
        <v>95</v>
      </c>
      <c r="B10" s="30" t="n">
        <v>45937</v>
      </c>
      <c r="C10" s="31" t="s">
        <v>74</v>
      </c>
      <c r="D10" s="31" t="s">
        <v>96</v>
      </c>
      <c r="E10" s="31" t="s">
        <v>97</v>
      </c>
      <c r="F10" s="31" t="s">
        <v>23</v>
      </c>
      <c r="G10" s="31" t="s">
        <v>98</v>
      </c>
      <c r="H10" s="32" t="n">
        <f aca="true">IF(F10="Closed","—",TODAY()-B10)</f>
        <v>156</v>
      </c>
      <c r="I10" s="33" t="n">
        <f aca="false">COUNTIFS(Reviews!C:C,A10,Reviews!F:F,"Y")</f>
        <v>1</v>
      </c>
      <c r="J10" s="33" t="n">
        <f aca="false">IFERROR(MAX(COUNTIFS(Reviews!C:C,A10,Reviews!G:G,"Critical")*4,COUNTIFS(Reviews!C:C,A10,Reviews!G:G,"High")*3,COUNTIFS(Reviews!C:C,A10,Reviews!G:G,"Medium")*2,COUNTIFS(Reviews!C:C,A10,Reviews!G:G,"Low")*1),0)</f>
        <v>2</v>
      </c>
      <c r="K10" s="34" t="str">
        <f aca="false">IF(COUNTIFS(Patches!D:D,A10,Patches!H:H,"Applied")&gt;0,"Applied",IF(COUNTIFS(Patches!D:D,A10,Patches!H:H,"Approved")&gt;0,"Approved",IF(COUNTIFS(Patches!D:D,A10,Patches!H:H,"Pending")&gt;0,"Pending","None")))</f>
        <v>Applied</v>
      </c>
      <c r="L10" s="35" t="n">
        <f aca="false">IF(F10="Closed",0,ROUND(MIN(IF(ISNUMBER(H10),H10,0),90)/90*25 + MIN(I10,5)/5*30 + J10/4*25 + IF(OR(K10="None",K10="Pending"),20,IF(K10="Approved",10,0)),1))</f>
        <v>43.5</v>
      </c>
    </row>
    <row r="11" customFormat="false" ht="23.85" hidden="false" customHeight="false" outlineLevel="0" collapsed="false">
      <c r="A11" s="36" t="s">
        <v>99</v>
      </c>
      <c r="B11" s="37" t="n">
        <v>45931</v>
      </c>
      <c r="C11" s="38" t="s">
        <v>79</v>
      </c>
      <c r="D11" s="38" t="s">
        <v>100</v>
      </c>
      <c r="E11" s="38" t="s">
        <v>101</v>
      </c>
      <c r="F11" s="38" t="s">
        <v>23</v>
      </c>
      <c r="G11" s="38" t="s">
        <v>102</v>
      </c>
      <c r="H11" s="39" t="n">
        <f aca="true">IF(F11="Closed","—",TODAY()-B11)</f>
        <v>162</v>
      </c>
      <c r="I11" s="40" t="n">
        <f aca="false">COUNTIFS(Reviews!C:C,A11,Reviews!F:F,"Y")</f>
        <v>0</v>
      </c>
      <c r="J11" s="40" t="n">
        <f aca="false">IFERROR(MAX(COUNTIFS(Reviews!C:C,A11,Reviews!G:G,"Critical")*4,COUNTIFS(Reviews!C:C,A11,Reviews!G:G,"High")*3,COUNTIFS(Reviews!C:C,A11,Reviews!G:G,"Medium")*2,COUNTIFS(Reviews!C:C,A11,Reviews!G:G,"Low")*1),0)</f>
        <v>1</v>
      </c>
      <c r="K11" s="41" t="str">
        <f aca="false">IF(COUNTIFS(Patches!D:D,A11,Patches!H:H,"Applied")&gt;0,"Applied",IF(COUNTIFS(Patches!D:D,A11,Patches!H:H,"Approved")&gt;0,"Approved",IF(COUNTIFS(Patches!D:D,A11,Patches!H:H,"Pending")&gt;0,"Pending","None")))</f>
        <v>Approved</v>
      </c>
      <c r="L11" s="42" t="n">
        <f aca="false">IF(F11="Closed",0,ROUND(MIN(IF(ISNUMBER(H11),H11,0),90)/90*25 + MIN(I11,5)/5*30 + J11/4*25 + IF(OR(K11="None",K11="Pending"),20,IF(K11="Approved",10,0)),1))</f>
        <v>41.3</v>
      </c>
    </row>
    <row r="12" customFormat="false" ht="23.85" hidden="false" customHeight="false" outlineLevel="0" collapsed="false">
      <c r="A12" s="29" t="s">
        <v>103</v>
      </c>
      <c r="B12" s="30" t="n">
        <v>45934</v>
      </c>
      <c r="C12" s="31" t="s">
        <v>59</v>
      </c>
      <c r="D12" s="31" t="s">
        <v>104</v>
      </c>
      <c r="E12" s="31" t="s">
        <v>105</v>
      </c>
      <c r="F12" s="31" t="s">
        <v>23</v>
      </c>
      <c r="G12" s="31" t="s">
        <v>106</v>
      </c>
      <c r="H12" s="32" t="n">
        <f aca="true">IF(F12="Closed","—",TODAY()-B12)</f>
        <v>159</v>
      </c>
      <c r="I12" s="33" t="n">
        <f aca="false">COUNTIFS(Reviews!C:C,A12,Reviews!F:F,"Y")</f>
        <v>1</v>
      </c>
      <c r="J12" s="33" t="n">
        <f aca="false">IFERROR(MAX(COUNTIFS(Reviews!C:C,A12,Reviews!G:G,"Critical")*4,COUNTIFS(Reviews!C:C,A12,Reviews!G:G,"High")*3,COUNTIFS(Reviews!C:C,A12,Reviews!G:G,"Medium")*2,COUNTIFS(Reviews!C:C,A12,Reviews!G:G,"Low")*1),0)</f>
        <v>4</v>
      </c>
      <c r="K12" s="34" t="str">
        <f aca="false">IF(COUNTIFS(Patches!D:D,A12,Patches!H:H,"Applied")&gt;0,"Applied",IF(COUNTIFS(Patches!D:D,A12,Patches!H:H,"Approved")&gt;0,"Approved",IF(COUNTIFS(Patches!D:D,A12,Patches!H:H,"Pending")&gt;0,"Pending","None")))</f>
        <v>Pending</v>
      </c>
      <c r="L12" s="35" t="n">
        <f aca="false">IF(F12="Closed",0,ROUND(MIN(IF(ISNUMBER(H12),H12,0),90)/90*25 + MIN(I12,5)/5*30 + J12/4*25 + IF(OR(K12="None",K12="Pending"),20,IF(K12="Approved",10,0)),1))</f>
        <v>76</v>
      </c>
    </row>
    <row r="13" customFormat="false" ht="23.85" hidden="false" customHeight="false" outlineLevel="0" collapsed="false">
      <c r="A13" s="36" t="s">
        <v>107</v>
      </c>
      <c r="B13" s="37" t="n">
        <v>45939</v>
      </c>
      <c r="C13" s="38" t="s">
        <v>64</v>
      </c>
      <c r="D13" s="38" t="s">
        <v>108</v>
      </c>
      <c r="E13" s="38" t="s">
        <v>109</v>
      </c>
      <c r="F13" s="38" t="s">
        <v>29</v>
      </c>
      <c r="G13" s="38" t="s">
        <v>110</v>
      </c>
      <c r="H13" s="39" t="n">
        <f aca="true">IF(F13="Closed","—",TODAY()-B13)</f>
        <v>154</v>
      </c>
      <c r="I13" s="40" t="n">
        <f aca="false">COUNTIFS(Reviews!C:C,A13,Reviews!F:F,"Y")</f>
        <v>1</v>
      </c>
      <c r="J13" s="40" t="n">
        <f aca="false">IFERROR(MAX(COUNTIFS(Reviews!C:C,A13,Reviews!G:G,"Critical")*4,COUNTIFS(Reviews!C:C,A13,Reviews!G:G,"High")*3,COUNTIFS(Reviews!C:C,A13,Reviews!G:G,"Medium")*2,COUNTIFS(Reviews!C:C,A13,Reviews!G:G,"Low")*1),0)</f>
        <v>3</v>
      </c>
      <c r="K13" s="41" t="str">
        <f aca="false">IF(COUNTIFS(Patches!D:D,A13,Patches!H:H,"Applied")&gt;0,"Applied",IF(COUNTIFS(Patches!D:D,A13,Patches!H:H,"Approved")&gt;0,"Approved",IF(COUNTIFS(Patches!D:D,A13,Patches!H:H,"Pending")&gt;0,"Pending","None")))</f>
        <v>Pending</v>
      </c>
      <c r="L13" s="42" t="n">
        <f aca="false">IF(F13="Closed",0,ROUND(MIN(IF(ISNUMBER(H13),H13,0),90)/90*25 + MIN(I13,5)/5*30 + J13/4*25 + IF(OR(K13="None",K13="Pending"),20,IF(K13="Approved",10,0)),1))</f>
        <v>69.8</v>
      </c>
    </row>
    <row r="14" customFormat="false" ht="23.85" hidden="false" customHeight="false" outlineLevel="0" collapsed="false">
      <c r="A14" s="29" t="s">
        <v>111</v>
      </c>
      <c r="B14" s="30" t="n">
        <v>45931</v>
      </c>
      <c r="C14" s="31" t="s">
        <v>69</v>
      </c>
      <c r="D14" s="31" t="s">
        <v>112</v>
      </c>
      <c r="E14" s="31" t="s">
        <v>113</v>
      </c>
      <c r="F14" s="31" t="s">
        <v>29</v>
      </c>
      <c r="G14" s="31" t="s">
        <v>114</v>
      </c>
      <c r="H14" s="32" t="n">
        <f aca="true">IF(F14="Closed","—",TODAY()-B14)</f>
        <v>162</v>
      </c>
      <c r="I14" s="33" t="n">
        <f aca="false">COUNTIFS(Reviews!C:C,A14,Reviews!F:F,"Y")</f>
        <v>1</v>
      </c>
      <c r="J14" s="33" t="n">
        <f aca="false">IFERROR(MAX(COUNTIFS(Reviews!C:C,A14,Reviews!G:G,"Critical")*4,COUNTIFS(Reviews!C:C,A14,Reviews!G:G,"High")*3,COUNTIFS(Reviews!C:C,A14,Reviews!G:G,"Medium")*2,COUNTIFS(Reviews!C:C,A14,Reviews!G:G,"Low")*1),0)</f>
        <v>1</v>
      </c>
      <c r="K14" s="34" t="str">
        <f aca="false">IF(COUNTIFS(Patches!D:D,A14,Patches!H:H,"Applied")&gt;0,"Applied",IF(COUNTIFS(Patches!D:D,A14,Patches!H:H,"Approved")&gt;0,"Approved",IF(COUNTIFS(Patches!D:D,A14,Patches!H:H,"Pending")&gt;0,"Pending","None")))</f>
        <v>Approved</v>
      </c>
      <c r="L14" s="35" t="n">
        <f aca="false">IF(F14="Closed",0,ROUND(MIN(IF(ISNUMBER(H14),H14,0),90)/90*25 + MIN(I14,5)/5*30 + J14/4*25 + IF(OR(K14="None",K14="Pending"),20,IF(K14="Approved",10,0)),1))</f>
        <v>47.3</v>
      </c>
    </row>
    <row r="15" customFormat="false" ht="23.85" hidden="false" customHeight="false" outlineLevel="0" collapsed="false">
      <c r="A15" s="36" t="s">
        <v>115</v>
      </c>
      <c r="B15" s="37" t="n">
        <v>45934</v>
      </c>
      <c r="C15" s="38" t="s">
        <v>74</v>
      </c>
      <c r="D15" s="38" t="s">
        <v>116</v>
      </c>
      <c r="E15" s="38" t="s">
        <v>117</v>
      </c>
      <c r="F15" s="38" t="s">
        <v>32</v>
      </c>
      <c r="G15" s="38" t="s">
        <v>118</v>
      </c>
      <c r="H15" s="39" t="str">
        <f aca="true">IF(F15="Closed","—",TODAY()-B15)</f>
        <v>—</v>
      </c>
      <c r="I15" s="40" t="n">
        <f aca="false">COUNTIFS(Reviews!C:C,A15,Reviews!F:F,"Y")</f>
        <v>0</v>
      </c>
      <c r="J15" s="40" t="n">
        <f aca="false">IFERROR(MAX(COUNTIFS(Reviews!C:C,A15,Reviews!G:G,"Critical")*4,COUNTIFS(Reviews!C:C,A15,Reviews!G:G,"High")*3,COUNTIFS(Reviews!C:C,A15,Reviews!G:G,"Medium")*2,COUNTIFS(Reviews!C:C,A15,Reviews!G:G,"Low")*1),0)</f>
        <v>1</v>
      </c>
      <c r="K15" s="41" t="str">
        <f aca="false">IF(COUNTIFS(Patches!D:D,A15,Patches!H:H,"Applied")&gt;0,"Applied",IF(COUNTIFS(Patches!D:D,A15,Patches!H:H,"Approved")&gt;0,"Approved",IF(COUNTIFS(Patches!D:D,A15,Patches!H:H,"Pending")&gt;0,"Pending","None")))</f>
        <v>Applied</v>
      </c>
      <c r="L15" s="42" t="n">
        <f aca="false">IF(F15="Closed",0,ROUND(MIN(IF(ISNUMBER(H15),H15,0),90)/90*25 + MIN(I15,5)/5*30 + J15/4*25 + IF(OR(K15="None",K15="Pending"),20,IF(K15="Approved",10,0)),1))</f>
        <v>0</v>
      </c>
    </row>
    <row r="16" customFormat="false" ht="23.85" hidden="false" customHeight="false" outlineLevel="0" collapsed="false">
      <c r="A16" s="29" t="s">
        <v>119</v>
      </c>
      <c r="B16" s="30" t="n">
        <v>45941</v>
      </c>
      <c r="C16" s="31" t="s">
        <v>79</v>
      </c>
      <c r="D16" s="31" t="s">
        <v>120</v>
      </c>
      <c r="E16" s="31" t="s">
        <v>121</v>
      </c>
      <c r="F16" s="31" t="s">
        <v>32</v>
      </c>
      <c r="G16" s="31" t="s">
        <v>122</v>
      </c>
      <c r="H16" s="32" t="str">
        <f aca="true">IF(F16="Closed","—",TODAY()-B16)</f>
        <v>—</v>
      </c>
      <c r="I16" s="33" t="n">
        <f aca="false">COUNTIFS(Reviews!C:C,A16,Reviews!F:F,"Y")</f>
        <v>0</v>
      </c>
      <c r="J16" s="33" t="n">
        <f aca="false">IFERROR(MAX(COUNTIFS(Reviews!C:C,A16,Reviews!G:G,"Critical")*4,COUNTIFS(Reviews!C:C,A16,Reviews!G:G,"High")*3,COUNTIFS(Reviews!C:C,A16,Reviews!G:G,"Medium")*2,COUNTIFS(Reviews!C:C,A16,Reviews!G:G,"Low")*1),0)</f>
        <v>1</v>
      </c>
      <c r="K16" s="34" t="str">
        <f aca="false">IF(COUNTIFS(Patches!D:D,A16,Patches!H:H,"Applied")&gt;0,"Applied",IF(COUNTIFS(Patches!D:D,A16,Patches!H:H,"Approved")&gt;0,"Approved",IF(COUNTIFS(Patches!D:D,A16,Patches!H:H,"Pending")&gt;0,"Pending","None")))</f>
        <v>Approved</v>
      </c>
      <c r="L16" s="35" t="n">
        <f aca="false">IF(F16="Closed",0,ROUND(MIN(IF(ISNUMBER(H16),H16,0),90)/90*25 + MIN(I16,5)/5*30 + J16/4*25 + IF(OR(K16="None",K16="Pending"),20,IF(K16="Approved",10,0)),1))</f>
        <v>0</v>
      </c>
    </row>
    <row r="17" customFormat="false" ht="23.85" hidden="false" customHeight="false" outlineLevel="0" collapsed="false">
      <c r="A17" s="36" t="s">
        <v>123</v>
      </c>
      <c r="B17" s="37" t="n">
        <v>45939</v>
      </c>
      <c r="C17" s="38" t="s">
        <v>59</v>
      </c>
      <c r="D17" s="38" t="s">
        <v>124</v>
      </c>
      <c r="E17" s="38" t="s">
        <v>61</v>
      </c>
      <c r="F17" s="38" t="s">
        <v>26</v>
      </c>
      <c r="G17" s="38" t="s">
        <v>125</v>
      </c>
      <c r="H17" s="39" t="n">
        <f aca="true">IF(F17="Closed","—",TODAY()-B17)</f>
        <v>154</v>
      </c>
      <c r="I17" s="40" t="n">
        <f aca="false">COUNTIFS(Reviews!C:C,A17,Reviews!F:F,"Y")</f>
        <v>1</v>
      </c>
      <c r="J17" s="40" t="n">
        <f aca="false">IFERROR(MAX(COUNTIFS(Reviews!C:C,A17,Reviews!G:G,"Critical")*4,COUNTIFS(Reviews!C:C,A17,Reviews!G:G,"High")*3,COUNTIFS(Reviews!C:C,A17,Reviews!G:G,"Medium")*2,COUNTIFS(Reviews!C:C,A17,Reviews!G:G,"Low")*1),0)</f>
        <v>2</v>
      </c>
      <c r="K17" s="41" t="str">
        <f aca="false">IF(COUNTIFS(Patches!D:D,A17,Patches!H:H,"Applied")&gt;0,"Applied",IF(COUNTIFS(Patches!D:D,A17,Patches!H:H,"Approved")&gt;0,"Approved",IF(COUNTIFS(Patches!D:D,A17,Patches!H:H,"Pending")&gt;0,"Pending","None")))</f>
        <v>None</v>
      </c>
      <c r="L17" s="42" t="n">
        <f aca="false">IF(F17="Closed",0,ROUND(MIN(IF(ISNUMBER(H17),H17,0),90)/90*25 + MIN(I17,5)/5*30 + J17/4*25 + IF(OR(K17="None",K17="Pending"),20,IF(K17="Approved",10,0)),1))</f>
        <v>63.5</v>
      </c>
    </row>
    <row r="18" customFormat="false" ht="23.85" hidden="false" customHeight="false" outlineLevel="0" collapsed="false">
      <c r="A18" s="29" t="s">
        <v>126</v>
      </c>
      <c r="B18" s="30" t="n">
        <v>45934</v>
      </c>
      <c r="C18" s="31" t="s">
        <v>64</v>
      </c>
      <c r="D18" s="31" t="s">
        <v>127</v>
      </c>
      <c r="E18" s="31" t="s">
        <v>66</v>
      </c>
      <c r="F18" s="31" t="s">
        <v>26</v>
      </c>
      <c r="G18" s="31" t="s">
        <v>128</v>
      </c>
      <c r="H18" s="32" t="n">
        <f aca="true">IF(F18="Closed","—",TODAY()-B18)</f>
        <v>159</v>
      </c>
      <c r="I18" s="33" t="n">
        <f aca="false">COUNTIFS(Reviews!C:C,A18,Reviews!F:F,"Y")</f>
        <v>0</v>
      </c>
      <c r="J18" s="33" t="n">
        <f aca="false">IFERROR(MAX(COUNTIFS(Reviews!C:C,A18,Reviews!G:G,"Critical")*4,COUNTIFS(Reviews!C:C,A18,Reviews!G:G,"High")*3,COUNTIFS(Reviews!C:C,A18,Reviews!G:G,"Medium")*2,COUNTIFS(Reviews!C:C,A18,Reviews!G:G,"Low")*1),0)</f>
        <v>2</v>
      </c>
      <c r="K18" s="34" t="str">
        <f aca="false">IF(COUNTIFS(Patches!D:D,A18,Patches!H:H,"Applied")&gt;0,"Applied",IF(COUNTIFS(Patches!D:D,A18,Patches!H:H,"Approved")&gt;0,"Approved",IF(COUNTIFS(Patches!D:D,A18,Patches!H:H,"Pending")&gt;0,"Pending","None")))</f>
        <v>None</v>
      </c>
      <c r="L18" s="35" t="n">
        <f aca="false">IF(F18="Closed",0,ROUND(MIN(IF(ISNUMBER(H18),H18,0),90)/90*25 + MIN(I18,5)/5*30 + J18/4*25 + IF(OR(K18="None",K18="Pending"),20,IF(K18="Approved",10,0)),1))</f>
        <v>57.5</v>
      </c>
    </row>
    <row r="19" customFormat="false" ht="23.85" hidden="false" customHeight="false" outlineLevel="0" collapsed="false">
      <c r="A19" s="36" t="s">
        <v>129</v>
      </c>
      <c r="B19" s="37" t="n">
        <v>45940</v>
      </c>
      <c r="C19" s="38" t="s">
        <v>69</v>
      </c>
      <c r="D19" s="38" t="s">
        <v>130</v>
      </c>
      <c r="E19" s="38" t="s">
        <v>71</v>
      </c>
      <c r="F19" s="38" t="s">
        <v>23</v>
      </c>
      <c r="G19" s="38" t="s">
        <v>131</v>
      </c>
      <c r="H19" s="39" t="n">
        <f aca="true">IF(F19="Closed","—",TODAY()-B19)</f>
        <v>153</v>
      </c>
      <c r="I19" s="40" t="n">
        <f aca="false">COUNTIFS(Reviews!C:C,A19,Reviews!F:F,"Y")</f>
        <v>0</v>
      </c>
      <c r="J19" s="40" t="n">
        <f aca="false">IFERROR(MAX(COUNTIFS(Reviews!C:C,A19,Reviews!G:G,"Critical")*4,COUNTIFS(Reviews!C:C,A19,Reviews!G:G,"High")*3,COUNTIFS(Reviews!C:C,A19,Reviews!G:G,"Medium")*2,COUNTIFS(Reviews!C:C,A19,Reviews!G:G,"Low")*1),0)</f>
        <v>4</v>
      </c>
      <c r="K19" s="41" t="str">
        <f aca="false">IF(COUNTIFS(Patches!D:D,A19,Patches!H:H,"Applied")&gt;0,"Applied",IF(COUNTIFS(Patches!D:D,A19,Patches!H:H,"Approved")&gt;0,"Approved",IF(COUNTIFS(Patches!D:D,A19,Patches!H:H,"Pending")&gt;0,"Pending","None")))</f>
        <v>None</v>
      </c>
      <c r="L19" s="42" t="n">
        <f aca="false">IF(F19="Closed",0,ROUND(MIN(IF(ISNUMBER(H19),H19,0),90)/90*25 + MIN(I19,5)/5*30 + J19/4*25 + IF(OR(K19="None",K19="Pending"),20,IF(K19="Approved",10,0)),1))</f>
        <v>70</v>
      </c>
    </row>
    <row r="20" customFormat="false" ht="23.85" hidden="false" customHeight="false" outlineLevel="0" collapsed="false">
      <c r="A20" s="29" t="s">
        <v>132</v>
      </c>
      <c r="B20" s="30" t="n">
        <v>45943</v>
      </c>
      <c r="C20" s="31" t="s">
        <v>74</v>
      </c>
      <c r="D20" s="31" t="s">
        <v>133</v>
      </c>
      <c r="E20" s="31" t="s">
        <v>76</v>
      </c>
      <c r="F20" s="31" t="s">
        <v>23</v>
      </c>
      <c r="G20" s="31" t="s">
        <v>134</v>
      </c>
      <c r="H20" s="32" t="n">
        <f aca="true">IF(F20="Closed","—",TODAY()-B20)</f>
        <v>150</v>
      </c>
      <c r="I20" s="33" t="n">
        <f aca="false">COUNTIFS(Reviews!C:C,A20,Reviews!F:F,"Y")</f>
        <v>0</v>
      </c>
      <c r="J20" s="33" t="n">
        <f aca="false">IFERROR(MAX(COUNTIFS(Reviews!C:C,A20,Reviews!G:G,"Critical")*4,COUNTIFS(Reviews!C:C,A20,Reviews!G:G,"High")*3,COUNTIFS(Reviews!C:C,A20,Reviews!G:G,"Medium")*2,COUNTIFS(Reviews!C:C,A20,Reviews!G:G,"Low")*1),0)</f>
        <v>2</v>
      </c>
      <c r="K20" s="34" t="str">
        <f aca="false">IF(COUNTIFS(Patches!D:D,A20,Patches!H:H,"Applied")&gt;0,"Applied",IF(COUNTIFS(Patches!D:D,A20,Patches!H:H,"Approved")&gt;0,"Approved",IF(COUNTIFS(Patches!D:D,A20,Patches!H:H,"Pending")&gt;0,"Pending","None")))</f>
        <v>None</v>
      </c>
      <c r="L20" s="35" t="n">
        <f aca="false">IF(F20="Closed",0,ROUND(MIN(IF(ISNUMBER(H20),H20,0),90)/90*25 + MIN(I20,5)/5*30 + J20/4*25 + IF(OR(K20="None",K20="Pending"),20,IF(K20="Approved",10,0)),1))</f>
        <v>57.5</v>
      </c>
    </row>
    <row r="21" customFormat="false" ht="23.85" hidden="false" customHeight="false" outlineLevel="0" collapsed="false">
      <c r="A21" s="36" t="s">
        <v>135</v>
      </c>
      <c r="B21" s="37" t="n">
        <v>45943</v>
      </c>
      <c r="C21" s="38" t="s">
        <v>79</v>
      </c>
      <c r="D21" s="38" t="s">
        <v>136</v>
      </c>
      <c r="E21" s="38" t="s">
        <v>81</v>
      </c>
      <c r="F21" s="38" t="s">
        <v>23</v>
      </c>
      <c r="G21" s="38" t="s">
        <v>137</v>
      </c>
      <c r="H21" s="39" t="n">
        <f aca="true">IF(F21="Closed","—",TODAY()-B21)</f>
        <v>150</v>
      </c>
      <c r="I21" s="40" t="n">
        <f aca="false">COUNTIFS(Reviews!C:C,A21,Reviews!F:F,"Y")</f>
        <v>0</v>
      </c>
      <c r="J21" s="40" t="n">
        <f aca="false">IFERROR(MAX(COUNTIFS(Reviews!C:C,A21,Reviews!G:G,"Critical")*4,COUNTIFS(Reviews!C:C,A21,Reviews!G:G,"High")*3,COUNTIFS(Reviews!C:C,A21,Reviews!G:G,"Medium")*2,COUNTIFS(Reviews!C:C,A21,Reviews!G:G,"Low")*1),0)</f>
        <v>3</v>
      </c>
      <c r="K21" s="41" t="str">
        <f aca="false">IF(COUNTIFS(Patches!D:D,A21,Patches!H:H,"Applied")&gt;0,"Applied",IF(COUNTIFS(Patches!D:D,A21,Patches!H:H,"Approved")&gt;0,"Approved",IF(COUNTIFS(Patches!D:D,A21,Patches!H:H,"Pending")&gt;0,"Pending","None")))</f>
        <v>None</v>
      </c>
      <c r="L21" s="42" t="n">
        <f aca="false">IF(F21="Closed",0,ROUND(MIN(IF(ISNUMBER(H21),H21,0),90)/90*25 + MIN(I21,5)/5*30 + J21/4*25 + IF(OR(K21="None",K21="Pending"),20,IF(K21="Approved",10,0)),1))</f>
        <v>63.8</v>
      </c>
    </row>
    <row r="22" customFormat="false" ht="23.85" hidden="false" customHeight="false" outlineLevel="0" collapsed="false">
      <c r="A22" s="29" t="s">
        <v>138</v>
      </c>
      <c r="B22" s="30" t="n">
        <v>45942</v>
      </c>
      <c r="C22" s="31" t="s">
        <v>59</v>
      </c>
      <c r="D22" s="31" t="s">
        <v>139</v>
      </c>
      <c r="E22" s="31" t="s">
        <v>85</v>
      </c>
      <c r="F22" s="31" t="s">
        <v>26</v>
      </c>
      <c r="G22" s="31" t="s">
        <v>140</v>
      </c>
      <c r="H22" s="32" t="n">
        <f aca="true">IF(F22="Closed","—",TODAY()-B22)</f>
        <v>151</v>
      </c>
      <c r="I22" s="33" t="n">
        <f aca="false">COUNTIFS(Reviews!C:C,A22,Reviews!F:F,"Y")</f>
        <v>0</v>
      </c>
      <c r="J22" s="33" t="n">
        <f aca="false">IFERROR(MAX(COUNTIFS(Reviews!C:C,A22,Reviews!G:G,"Critical")*4,COUNTIFS(Reviews!C:C,A22,Reviews!G:G,"High")*3,COUNTIFS(Reviews!C:C,A22,Reviews!G:G,"Medium")*2,COUNTIFS(Reviews!C:C,A22,Reviews!G:G,"Low")*1),0)</f>
        <v>0</v>
      </c>
      <c r="K22" s="34" t="str">
        <f aca="false">IF(COUNTIFS(Patches!D:D,A22,Patches!H:H,"Applied")&gt;0,"Applied",IF(COUNTIFS(Patches!D:D,A22,Patches!H:H,"Approved")&gt;0,"Approved",IF(COUNTIFS(Patches!D:D,A22,Patches!H:H,"Pending")&gt;0,"Pending","None")))</f>
        <v>None</v>
      </c>
      <c r="L22" s="35" t="n">
        <f aca="false">IF(F22="Closed",0,ROUND(MIN(IF(ISNUMBER(H22),H22,0),90)/90*25 + MIN(I22,5)/5*30 + J22/4*25 + IF(OR(K22="None",K22="Pending"),20,IF(K22="Approved",10,0)),1))</f>
        <v>45</v>
      </c>
    </row>
    <row r="23" customFormat="false" ht="23.85" hidden="false" customHeight="false" outlineLevel="0" collapsed="false">
      <c r="A23" s="36" t="s">
        <v>141</v>
      </c>
      <c r="B23" s="37" t="n">
        <v>45936</v>
      </c>
      <c r="C23" s="38" t="s">
        <v>64</v>
      </c>
      <c r="D23" s="38" t="s">
        <v>142</v>
      </c>
      <c r="E23" s="38" t="s">
        <v>89</v>
      </c>
      <c r="F23" s="38" t="s">
        <v>23</v>
      </c>
      <c r="G23" s="38" t="s">
        <v>143</v>
      </c>
      <c r="H23" s="39" t="n">
        <f aca="true">IF(F23="Closed","—",TODAY()-B23)</f>
        <v>157</v>
      </c>
      <c r="I23" s="40" t="n">
        <f aca="false">COUNTIFS(Reviews!C:C,A23,Reviews!F:F,"Y")</f>
        <v>0</v>
      </c>
      <c r="J23" s="40" t="n">
        <f aca="false">IFERROR(MAX(COUNTIFS(Reviews!C:C,A23,Reviews!G:G,"Critical")*4,COUNTIFS(Reviews!C:C,A23,Reviews!G:G,"High")*3,COUNTIFS(Reviews!C:C,A23,Reviews!G:G,"Medium")*2,COUNTIFS(Reviews!C:C,A23,Reviews!G:G,"Low")*1),0)</f>
        <v>0</v>
      </c>
      <c r="K23" s="41" t="str">
        <f aca="false">IF(COUNTIFS(Patches!D:D,A23,Patches!H:H,"Applied")&gt;0,"Applied",IF(COUNTIFS(Patches!D:D,A23,Patches!H:H,"Approved")&gt;0,"Approved",IF(COUNTIFS(Patches!D:D,A23,Patches!H:H,"Pending")&gt;0,"Pending","None")))</f>
        <v>None</v>
      </c>
      <c r="L23" s="42" t="n">
        <f aca="false">IF(F23="Closed",0,ROUND(MIN(IF(ISNUMBER(H23),H23,0),90)/90*25 + MIN(I23,5)/5*30 + J23/4*25 + IF(OR(K23="None",K23="Pending"),20,IF(K23="Approved",10,0)),1))</f>
        <v>45</v>
      </c>
    </row>
    <row r="24" customFormat="false" ht="23.85" hidden="false" customHeight="false" outlineLevel="0" collapsed="false">
      <c r="A24" s="29" t="s">
        <v>144</v>
      </c>
      <c r="B24" s="30" t="n">
        <v>45933</v>
      </c>
      <c r="C24" s="31" t="s">
        <v>69</v>
      </c>
      <c r="D24" s="31" t="s">
        <v>145</v>
      </c>
      <c r="E24" s="31" t="s">
        <v>93</v>
      </c>
      <c r="F24" s="31" t="s">
        <v>23</v>
      </c>
      <c r="G24" s="31" t="s">
        <v>146</v>
      </c>
      <c r="H24" s="32" t="n">
        <f aca="true">IF(F24="Closed","—",TODAY()-B24)</f>
        <v>160</v>
      </c>
      <c r="I24" s="33" t="n">
        <f aca="false">COUNTIFS(Reviews!C:C,A24,Reviews!F:F,"Y")</f>
        <v>0</v>
      </c>
      <c r="J24" s="33" t="n">
        <f aca="false">IFERROR(MAX(COUNTIFS(Reviews!C:C,A24,Reviews!G:G,"Critical")*4,COUNTIFS(Reviews!C:C,A24,Reviews!G:G,"High")*3,COUNTIFS(Reviews!C:C,A24,Reviews!G:G,"Medium")*2,COUNTIFS(Reviews!C:C,A24,Reviews!G:G,"Low")*1),0)</f>
        <v>0</v>
      </c>
      <c r="K24" s="34" t="str">
        <f aca="false">IF(COUNTIFS(Patches!D:D,A24,Patches!H:H,"Applied")&gt;0,"Applied",IF(COUNTIFS(Patches!D:D,A24,Patches!H:H,"Approved")&gt;0,"Approved",IF(COUNTIFS(Patches!D:D,A24,Patches!H:H,"Pending")&gt;0,"Pending","None")))</f>
        <v>None</v>
      </c>
      <c r="L24" s="35" t="n">
        <f aca="false">IF(F24="Closed",0,ROUND(MIN(IF(ISNUMBER(H24),H24,0),90)/90*25 + MIN(I24,5)/5*30 + J24/4*25 + IF(OR(K24="None",K24="Pending"),20,IF(K24="Approved",10,0)),1))</f>
        <v>45</v>
      </c>
    </row>
    <row r="25" customFormat="false" ht="23.85" hidden="false" customHeight="false" outlineLevel="0" collapsed="false">
      <c r="A25" s="36" t="s">
        <v>147</v>
      </c>
      <c r="B25" s="37" t="n">
        <v>45943</v>
      </c>
      <c r="C25" s="38" t="s">
        <v>74</v>
      </c>
      <c r="D25" s="38" t="s">
        <v>148</v>
      </c>
      <c r="E25" s="38" t="s">
        <v>97</v>
      </c>
      <c r="F25" s="38" t="s">
        <v>23</v>
      </c>
      <c r="G25" s="38" t="s">
        <v>149</v>
      </c>
      <c r="H25" s="39" t="n">
        <f aca="true">IF(F25="Closed","—",TODAY()-B25)</f>
        <v>150</v>
      </c>
      <c r="I25" s="40" t="n">
        <f aca="false">COUNTIFS(Reviews!C:C,A25,Reviews!F:F,"Y")</f>
        <v>0</v>
      </c>
      <c r="J25" s="40" t="n">
        <f aca="false">IFERROR(MAX(COUNTIFS(Reviews!C:C,A25,Reviews!G:G,"Critical")*4,COUNTIFS(Reviews!C:C,A25,Reviews!G:G,"High")*3,COUNTIFS(Reviews!C:C,A25,Reviews!G:G,"Medium")*2,COUNTIFS(Reviews!C:C,A25,Reviews!G:G,"Low")*1),0)</f>
        <v>0</v>
      </c>
      <c r="K25" s="41" t="str">
        <f aca="false">IF(COUNTIFS(Patches!D:D,A25,Patches!H:H,"Applied")&gt;0,"Applied",IF(COUNTIFS(Patches!D:D,A25,Patches!H:H,"Approved")&gt;0,"Approved",IF(COUNTIFS(Patches!D:D,A25,Patches!H:H,"Pending")&gt;0,"Pending","None")))</f>
        <v>None</v>
      </c>
      <c r="L25" s="42" t="n">
        <f aca="false">IF(F25="Closed",0,ROUND(MIN(IF(ISNUMBER(H25),H25,0),90)/90*25 + MIN(I25,5)/5*30 + J25/4*25 + IF(OR(K25="None",K25="Pending"),20,IF(K25="Approved",10,0)),1))</f>
        <v>45</v>
      </c>
    </row>
    <row r="26" customFormat="false" ht="23.85" hidden="false" customHeight="false" outlineLevel="0" collapsed="false">
      <c r="A26" s="29" t="s">
        <v>150</v>
      </c>
      <c r="B26" s="30" t="n">
        <v>45932</v>
      </c>
      <c r="C26" s="31" t="s">
        <v>79</v>
      </c>
      <c r="D26" s="31" t="s">
        <v>151</v>
      </c>
      <c r="E26" s="31" t="s">
        <v>101</v>
      </c>
      <c r="F26" s="31" t="s">
        <v>23</v>
      </c>
      <c r="G26" s="31" t="s">
        <v>152</v>
      </c>
      <c r="H26" s="32" t="n">
        <f aca="true">IF(F26="Closed","—",TODAY()-B26)</f>
        <v>161</v>
      </c>
      <c r="I26" s="33" t="n">
        <f aca="false">COUNTIFS(Reviews!C:C,A26,Reviews!F:F,"Y")</f>
        <v>0</v>
      </c>
      <c r="J26" s="33" t="n">
        <f aca="false">IFERROR(MAX(COUNTIFS(Reviews!C:C,A26,Reviews!G:G,"Critical")*4,COUNTIFS(Reviews!C:C,A26,Reviews!G:G,"High")*3,COUNTIFS(Reviews!C:C,A26,Reviews!G:G,"Medium")*2,COUNTIFS(Reviews!C:C,A26,Reviews!G:G,"Low")*1),0)</f>
        <v>0</v>
      </c>
      <c r="K26" s="34" t="str">
        <f aca="false">IF(COUNTIFS(Patches!D:D,A26,Patches!H:H,"Applied")&gt;0,"Applied",IF(COUNTIFS(Patches!D:D,A26,Patches!H:H,"Approved")&gt;0,"Approved",IF(COUNTIFS(Patches!D:D,A26,Patches!H:H,"Pending")&gt;0,"Pending","None")))</f>
        <v>None</v>
      </c>
      <c r="L26" s="35" t="n">
        <f aca="false">IF(F26="Closed",0,ROUND(MIN(IF(ISNUMBER(H26),H26,0),90)/90*25 + MIN(I26,5)/5*30 + J26/4*25 + IF(OR(K26="None",K26="Pending"),20,IF(K26="Approved",10,0)),1))</f>
        <v>45</v>
      </c>
    </row>
    <row r="27" customFormat="false" ht="23.85" hidden="false" customHeight="false" outlineLevel="0" collapsed="false">
      <c r="A27" s="36" t="s">
        <v>153</v>
      </c>
      <c r="B27" s="37" t="n">
        <v>45937</v>
      </c>
      <c r="C27" s="38" t="s">
        <v>59</v>
      </c>
      <c r="D27" s="38" t="s">
        <v>154</v>
      </c>
      <c r="E27" s="38" t="s">
        <v>105</v>
      </c>
      <c r="F27" s="38" t="s">
        <v>23</v>
      </c>
      <c r="G27" s="38"/>
      <c r="H27" s="39" t="n">
        <f aca="true">IF(F27="Closed","—",TODAY()-B27)</f>
        <v>156</v>
      </c>
      <c r="I27" s="40" t="n">
        <f aca="false">COUNTIFS(Reviews!C:C,A27,Reviews!F:F,"Y")</f>
        <v>0</v>
      </c>
      <c r="J27" s="40" t="n">
        <f aca="false">IFERROR(MAX(COUNTIFS(Reviews!C:C,A27,Reviews!G:G,"Critical")*4,COUNTIFS(Reviews!C:C,A27,Reviews!G:G,"High")*3,COUNTIFS(Reviews!C:C,A27,Reviews!G:G,"Medium")*2,COUNTIFS(Reviews!C:C,A27,Reviews!G:G,"Low")*1),0)</f>
        <v>0</v>
      </c>
      <c r="K27" s="41" t="str">
        <f aca="false">IF(COUNTIFS(Patches!D:D,A27,Patches!H:H,"Applied")&gt;0,"Applied",IF(COUNTIFS(Patches!D:D,A27,Patches!H:H,"Approved")&gt;0,"Approved",IF(COUNTIFS(Patches!D:D,A27,Patches!H:H,"Pending")&gt;0,"Pending","None")))</f>
        <v>None</v>
      </c>
      <c r="L27" s="42" t="n">
        <f aca="false">IF(F27="Closed",0,ROUND(MIN(IF(ISNUMBER(H27),H27,0),90)/90*25 + MIN(I27,5)/5*30 + J27/4*25 + IF(OR(K27="None",K27="Pending"),20,IF(K27="Approved",10,0)),1))</f>
        <v>45</v>
      </c>
    </row>
    <row r="28" customFormat="false" ht="23.85" hidden="false" customHeight="false" outlineLevel="0" collapsed="false">
      <c r="A28" s="29" t="s">
        <v>155</v>
      </c>
      <c r="B28" s="30" t="n">
        <v>45936</v>
      </c>
      <c r="C28" s="31" t="s">
        <v>64</v>
      </c>
      <c r="D28" s="31" t="s">
        <v>156</v>
      </c>
      <c r="E28" s="31" t="s">
        <v>109</v>
      </c>
      <c r="F28" s="31" t="s">
        <v>23</v>
      </c>
      <c r="G28" s="31"/>
      <c r="H28" s="32" t="n">
        <f aca="true">IF(F28="Closed","—",TODAY()-B28)</f>
        <v>157</v>
      </c>
      <c r="I28" s="33" t="n">
        <f aca="false">COUNTIFS(Reviews!C:C,A28,Reviews!F:F,"Y")</f>
        <v>0</v>
      </c>
      <c r="J28" s="33" t="n">
        <f aca="false">IFERROR(MAX(COUNTIFS(Reviews!C:C,A28,Reviews!G:G,"Critical")*4,COUNTIFS(Reviews!C:C,A28,Reviews!G:G,"High")*3,COUNTIFS(Reviews!C:C,A28,Reviews!G:G,"Medium")*2,COUNTIFS(Reviews!C:C,A28,Reviews!G:G,"Low")*1),0)</f>
        <v>0</v>
      </c>
      <c r="K28" s="34" t="str">
        <f aca="false">IF(COUNTIFS(Patches!D:D,A28,Patches!H:H,"Applied")&gt;0,"Applied",IF(COUNTIFS(Patches!D:D,A28,Patches!H:H,"Approved")&gt;0,"Approved",IF(COUNTIFS(Patches!D:D,A28,Patches!H:H,"Pending")&gt;0,"Pending","None")))</f>
        <v>None</v>
      </c>
      <c r="L28" s="35" t="n">
        <f aca="false">IF(F28="Closed",0,ROUND(MIN(IF(ISNUMBER(H28),H28,0),90)/90*25 + MIN(I28,5)/5*30 + J28/4*25 + IF(OR(K28="None",K28="Pending"),20,IF(K28="Approved",10,0)),1))</f>
        <v>45</v>
      </c>
    </row>
    <row r="29" customFormat="false" ht="23.85" hidden="false" customHeight="false" outlineLevel="0" collapsed="false">
      <c r="A29" s="36" t="s">
        <v>157</v>
      </c>
      <c r="B29" s="37" t="n">
        <v>45940</v>
      </c>
      <c r="C29" s="38" t="s">
        <v>69</v>
      </c>
      <c r="D29" s="38" t="s">
        <v>158</v>
      </c>
      <c r="E29" s="38" t="s">
        <v>113</v>
      </c>
      <c r="F29" s="38" t="s">
        <v>23</v>
      </c>
      <c r="G29" s="38"/>
      <c r="H29" s="39" t="n">
        <f aca="true">IF(F29="Closed","—",TODAY()-B29)</f>
        <v>153</v>
      </c>
      <c r="I29" s="40" t="n">
        <f aca="false">COUNTIFS(Reviews!C:C,A29,Reviews!F:F,"Y")</f>
        <v>0</v>
      </c>
      <c r="J29" s="40" t="n">
        <f aca="false">IFERROR(MAX(COUNTIFS(Reviews!C:C,A29,Reviews!G:G,"Critical")*4,COUNTIFS(Reviews!C:C,A29,Reviews!G:G,"High")*3,COUNTIFS(Reviews!C:C,A29,Reviews!G:G,"Medium")*2,COUNTIFS(Reviews!C:C,A29,Reviews!G:G,"Low")*1),0)</f>
        <v>0</v>
      </c>
      <c r="K29" s="41" t="str">
        <f aca="false">IF(COUNTIFS(Patches!D:D,A29,Patches!H:H,"Applied")&gt;0,"Applied",IF(COUNTIFS(Patches!D:D,A29,Patches!H:H,"Approved")&gt;0,"Approved",IF(COUNTIFS(Patches!D:D,A29,Patches!H:H,"Pending")&gt;0,"Pending","None")))</f>
        <v>None</v>
      </c>
      <c r="L29" s="42" t="n">
        <f aca="false">IF(F29="Closed",0,ROUND(MIN(IF(ISNUMBER(H29),H29,0),90)/90*25 + MIN(I29,5)/5*30 + J29/4*25 + IF(OR(K29="None",K29="Pending"),20,IF(K29="Approved",10,0)),1))</f>
        <v>45</v>
      </c>
    </row>
    <row r="30" customFormat="false" ht="23.85" hidden="false" customHeight="false" outlineLevel="0" collapsed="false">
      <c r="A30" s="29" t="s">
        <v>159</v>
      </c>
      <c r="B30" s="30" t="n">
        <v>45943</v>
      </c>
      <c r="C30" s="31" t="s">
        <v>74</v>
      </c>
      <c r="D30" s="31" t="s">
        <v>160</v>
      </c>
      <c r="E30" s="31" t="s">
        <v>117</v>
      </c>
      <c r="F30" s="31" t="s">
        <v>23</v>
      </c>
      <c r="G30" s="31"/>
      <c r="H30" s="32" t="n">
        <f aca="true">IF(F30="Closed","—",TODAY()-B30)</f>
        <v>150</v>
      </c>
      <c r="I30" s="33" t="n">
        <f aca="false">COUNTIFS(Reviews!C:C,A30,Reviews!F:F,"Y")</f>
        <v>0</v>
      </c>
      <c r="J30" s="33" t="n">
        <f aca="false">IFERROR(MAX(COUNTIFS(Reviews!C:C,A30,Reviews!G:G,"Critical")*4,COUNTIFS(Reviews!C:C,A30,Reviews!G:G,"High")*3,COUNTIFS(Reviews!C:C,A30,Reviews!G:G,"Medium")*2,COUNTIFS(Reviews!C:C,A30,Reviews!G:G,"Low")*1),0)</f>
        <v>0</v>
      </c>
      <c r="K30" s="34" t="str">
        <f aca="false">IF(COUNTIFS(Patches!D:D,A30,Patches!H:H,"Applied")&gt;0,"Applied",IF(COUNTIFS(Patches!D:D,A30,Patches!H:H,"Approved")&gt;0,"Approved",IF(COUNTIFS(Patches!D:D,A30,Patches!H:H,"Pending")&gt;0,"Pending","None")))</f>
        <v>None</v>
      </c>
      <c r="L30" s="35" t="n">
        <f aca="false">IF(F30="Closed",0,ROUND(MIN(IF(ISNUMBER(H30),H30,0),90)/90*25 + MIN(I30,5)/5*30 + J30/4*25 + IF(OR(K30="None",K30="Pending"),20,IF(K30="Approved",10,0)),1))</f>
        <v>45</v>
      </c>
    </row>
    <row r="31" customFormat="false" ht="23.85" hidden="false" customHeight="false" outlineLevel="0" collapsed="false">
      <c r="A31" s="36" t="s">
        <v>161</v>
      </c>
      <c r="B31" s="37" t="n">
        <v>45942</v>
      </c>
      <c r="C31" s="38" t="s">
        <v>79</v>
      </c>
      <c r="D31" s="38" t="s">
        <v>162</v>
      </c>
      <c r="E31" s="38" t="s">
        <v>121</v>
      </c>
      <c r="F31" s="38" t="s">
        <v>26</v>
      </c>
      <c r="G31" s="38"/>
      <c r="H31" s="39" t="n">
        <f aca="true">IF(F31="Closed","—",TODAY()-B31)</f>
        <v>151</v>
      </c>
      <c r="I31" s="40" t="n">
        <f aca="false">COUNTIFS(Reviews!C:C,A31,Reviews!F:F,"Y")</f>
        <v>0</v>
      </c>
      <c r="J31" s="40" t="n">
        <f aca="false">IFERROR(MAX(COUNTIFS(Reviews!C:C,A31,Reviews!G:G,"Critical")*4,COUNTIFS(Reviews!C:C,A31,Reviews!G:G,"High")*3,COUNTIFS(Reviews!C:C,A31,Reviews!G:G,"Medium")*2,COUNTIFS(Reviews!C:C,A31,Reviews!G:G,"Low")*1),0)</f>
        <v>0</v>
      </c>
      <c r="K31" s="41" t="str">
        <f aca="false">IF(COUNTIFS(Patches!D:D,A31,Patches!H:H,"Applied")&gt;0,"Applied",IF(COUNTIFS(Patches!D:D,A31,Patches!H:H,"Approved")&gt;0,"Approved",IF(COUNTIFS(Patches!D:D,A31,Patches!H:H,"Pending")&gt;0,"Pending","None")))</f>
        <v>None</v>
      </c>
      <c r="L31" s="42" t="n">
        <f aca="false">IF(F31="Closed",0,ROUND(MIN(IF(ISNUMBER(H31),H31,0),90)/90*25 + MIN(I31,5)/5*30 + J31/4*25 + IF(OR(K31="None",K31="Pending"),20,IF(K31="Approved",10,0)),1))</f>
        <v>45</v>
      </c>
    </row>
  </sheetData>
  <conditionalFormatting sqref="L2:L31">
    <cfRule type="cellIs" priority="2" operator="greaterThan" aboveAverage="0" equalAverage="0" bottom="0" percent="0" rank="0" text="" dxfId="10">
      <formula>60</formula>
    </cfRule>
    <cfRule type="cellIs" priority="3" operator="between" aboveAverage="0" equalAverage="0" bottom="0" percent="0" rank="0" text="" dxfId="11">
      <formula>30</formula>
      <formula>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43" t="s">
        <v>163</v>
      </c>
      <c r="B1" s="43" t="s">
        <v>47</v>
      </c>
      <c r="C1" s="43" t="s">
        <v>46</v>
      </c>
      <c r="D1" s="43" t="s">
        <v>164</v>
      </c>
      <c r="E1" s="43" t="s">
        <v>165</v>
      </c>
      <c r="F1" s="43" t="s">
        <v>166</v>
      </c>
      <c r="G1" s="43" t="s">
        <v>167</v>
      </c>
      <c r="H1" s="44" t="s">
        <v>168</v>
      </c>
      <c r="I1" s="44" t="s">
        <v>169</v>
      </c>
    </row>
    <row r="2" customFormat="false" ht="23.85" hidden="false" customHeight="false" outlineLevel="0" collapsed="false">
      <c r="A2" s="29" t="s">
        <v>62</v>
      </c>
      <c r="B2" s="30" t="n">
        <v>46014</v>
      </c>
      <c r="C2" s="45" t="s">
        <v>58</v>
      </c>
      <c r="D2" s="31" t="s">
        <v>59</v>
      </c>
      <c r="E2" s="31" t="s">
        <v>170</v>
      </c>
      <c r="F2" s="31" t="s">
        <v>171</v>
      </c>
      <c r="G2" s="46" t="s">
        <v>172</v>
      </c>
      <c r="H2" s="47" t="str">
        <f aca="false">IFERROR(INDEX(Claims!D:D,MATCH(C2,Claims!A:A,0)),"—")</f>
        <v>Monthly status report by 5th business day</v>
      </c>
      <c r="I2" s="47" t="str">
        <f aca="false">IFERROR(INDEX(Claims!E:E,MATCH(C2,Claims!A:A,0)),"—")</f>
        <v>SOW 3.1</v>
      </c>
    </row>
    <row r="3" customFormat="false" ht="23.85" hidden="false" customHeight="false" outlineLevel="0" collapsed="false">
      <c r="A3" s="36" t="s">
        <v>67</v>
      </c>
      <c r="B3" s="37" t="n">
        <v>45956</v>
      </c>
      <c r="C3" s="48" t="s">
        <v>63</v>
      </c>
      <c r="D3" s="38" t="s">
        <v>79</v>
      </c>
      <c r="E3" s="38" t="s">
        <v>173</v>
      </c>
      <c r="F3" s="38" t="s">
        <v>174</v>
      </c>
      <c r="G3" s="49" t="s">
        <v>175</v>
      </c>
      <c r="H3" s="47" t="str">
        <f aca="false">IFERROR(INDEX(Claims!D:D,MATCH(C3,Claims!A:A,0)),"—")</f>
        <v>Software deliverables pass security scan before acceptance</v>
      </c>
      <c r="I3" s="47" t="str">
        <f aca="false">IFERROR(INDEX(Claims!E:E,MATCH(C3,Claims!A:A,0)),"—")</f>
        <v>SOW 3.2</v>
      </c>
    </row>
    <row r="4" customFormat="false" ht="23.85" hidden="false" customHeight="false" outlineLevel="0" collapsed="false">
      <c r="A4" s="29" t="s">
        <v>72</v>
      </c>
      <c r="B4" s="30" t="n">
        <v>45992</v>
      </c>
      <c r="C4" s="45" t="s">
        <v>68</v>
      </c>
      <c r="D4" s="31" t="s">
        <v>79</v>
      </c>
      <c r="E4" s="31" t="s">
        <v>176</v>
      </c>
      <c r="F4" s="31" t="s">
        <v>177</v>
      </c>
      <c r="G4" s="50" t="s">
        <v>175</v>
      </c>
      <c r="H4" s="47" t="str">
        <f aca="false">IFERROR(INDEX(Claims!D:D,MATCH(C4,Claims!A:A,0)),"—")</f>
        <v>Maintain 98% system uptime during core hours</v>
      </c>
      <c r="I4" s="47" t="str">
        <f aca="false">IFERROR(INDEX(Claims!E:E,MATCH(C4,Claims!A:A,0)),"—")</f>
        <v>SOW 4.1</v>
      </c>
    </row>
    <row r="5" customFormat="false" ht="23.85" hidden="false" customHeight="false" outlineLevel="0" collapsed="false">
      <c r="A5" s="36" t="s">
        <v>77</v>
      </c>
      <c r="B5" s="37" t="n">
        <v>45954</v>
      </c>
      <c r="C5" s="48" t="s">
        <v>73</v>
      </c>
      <c r="D5" s="38" t="s">
        <v>59</v>
      </c>
      <c r="E5" s="38" t="s">
        <v>178</v>
      </c>
      <c r="F5" s="38" t="s">
        <v>179</v>
      </c>
      <c r="G5" s="49" t="s">
        <v>175</v>
      </c>
      <c r="H5" s="47" t="str">
        <f aca="false">IFERROR(INDEX(Claims!D:D,MATCH(C5,Claims!A:A,0)),"—")</f>
        <v>Weekly staffing report due Monday by 1200</v>
      </c>
      <c r="I5" s="47" t="str">
        <f aca="false">IFERROR(INDEX(Claims!E:E,MATCH(C5,Claims!A:A,0)),"—")</f>
        <v>SOW 5.3</v>
      </c>
    </row>
    <row r="6" customFormat="false" ht="23.85" hidden="false" customHeight="false" outlineLevel="0" collapsed="false">
      <c r="A6" s="29" t="s">
        <v>82</v>
      </c>
      <c r="B6" s="30" t="n">
        <v>45983</v>
      </c>
      <c r="C6" s="45" t="s">
        <v>78</v>
      </c>
      <c r="D6" s="31" t="s">
        <v>59</v>
      </c>
      <c r="E6" s="31" t="s">
        <v>180</v>
      </c>
      <c r="F6" s="31" t="s">
        <v>181</v>
      </c>
      <c r="G6" s="50" t="s">
        <v>175</v>
      </c>
      <c r="H6" s="47" t="str">
        <f aca="false">IFERROR(INDEX(Claims!D:D,MATCH(C6,Claims!A:A,0)),"—")</f>
        <v>All personnel hold TS/SCI clearance</v>
      </c>
      <c r="I6" s="47" t="str">
        <f aca="false">IFERROR(INDEX(Claims!E:E,MATCH(C6,Claims!A:A,0)),"—")</f>
        <v>CDRL A001</v>
      </c>
    </row>
    <row r="7" customFormat="false" ht="23.85" hidden="false" customHeight="false" outlineLevel="0" collapsed="false">
      <c r="A7" s="36" t="s">
        <v>86</v>
      </c>
      <c r="B7" s="37" t="n">
        <v>45958</v>
      </c>
      <c r="C7" s="48" t="s">
        <v>83</v>
      </c>
      <c r="D7" s="38" t="s">
        <v>74</v>
      </c>
      <c r="E7" s="38" t="s">
        <v>182</v>
      </c>
      <c r="F7" s="38" t="s">
        <v>183</v>
      </c>
      <c r="G7" s="49" t="s">
        <v>175</v>
      </c>
      <c r="H7" s="47" t="str">
        <f aca="false">IFERROR(INDEX(Claims!D:D,MATCH(C7,Claims!A:A,0)),"—")</f>
        <v>Help desk response within 15 min during business hours</v>
      </c>
      <c r="I7" s="47" t="str">
        <f aca="false">IFERROR(INDEX(Claims!E:E,MATCH(C7,Claims!A:A,0)),"—")</f>
        <v>CDRL A003</v>
      </c>
    </row>
    <row r="8" customFormat="false" ht="23.85" hidden="false" customHeight="false" outlineLevel="0" collapsed="false">
      <c r="A8" s="29" t="s">
        <v>90</v>
      </c>
      <c r="B8" s="30" t="n">
        <v>46004</v>
      </c>
      <c r="C8" s="45" t="s">
        <v>87</v>
      </c>
      <c r="D8" s="31" t="s">
        <v>69</v>
      </c>
      <c r="E8" s="31" t="s">
        <v>184</v>
      </c>
      <c r="F8" s="31" t="s">
        <v>185</v>
      </c>
      <c r="G8" s="50" t="s">
        <v>175</v>
      </c>
      <c r="H8" s="47" t="str">
        <f aca="false">IFERROR(INDEX(Claims!D:D,MATCH(C8,Claims!A:A,0)),"—")</f>
        <v>Quarterly program review by 10th of quarter</v>
      </c>
      <c r="I8" s="47" t="str">
        <f aca="false">IFERROR(INDEX(Claims!E:E,MATCH(C8,Claims!A:A,0)),"—")</f>
        <v>CDRL A005</v>
      </c>
    </row>
    <row r="9" customFormat="false" ht="23.85" hidden="false" customHeight="false" outlineLevel="0" collapsed="false">
      <c r="A9" s="36" t="s">
        <v>94</v>
      </c>
      <c r="B9" s="37" t="n">
        <v>45993</v>
      </c>
      <c r="C9" s="48" t="s">
        <v>91</v>
      </c>
      <c r="D9" s="38" t="s">
        <v>69</v>
      </c>
      <c r="E9" s="38" t="s">
        <v>186</v>
      </c>
      <c r="F9" s="38" t="s">
        <v>187</v>
      </c>
      <c r="G9" s="49" t="s">
        <v>175</v>
      </c>
      <c r="H9" s="47" t="str">
        <f aca="false">IFERROR(INDEX(Claims!D:D,MATCH(C9,Claims!A:A,0)),"—")</f>
        <v>Code commits include &gt;80% unit test coverage</v>
      </c>
      <c r="I9" s="47" t="str">
        <f aca="false">IFERROR(INDEX(Claims!E:E,MATCH(C9,Claims!A:A,0)),"—")</f>
        <v>PWS 3.2.1</v>
      </c>
    </row>
    <row r="10" customFormat="false" ht="23.85" hidden="false" customHeight="false" outlineLevel="0" collapsed="false">
      <c r="A10" s="29" t="s">
        <v>98</v>
      </c>
      <c r="B10" s="30" t="n">
        <v>45980</v>
      </c>
      <c r="C10" s="45" t="s">
        <v>95</v>
      </c>
      <c r="D10" s="31" t="s">
        <v>59</v>
      </c>
      <c r="E10" s="31" t="s">
        <v>188</v>
      </c>
      <c r="F10" s="31" t="s">
        <v>189</v>
      </c>
      <c r="G10" s="46" t="s">
        <v>172</v>
      </c>
      <c r="H10" s="47" t="str">
        <f aca="false">IFERROR(INDEX(Claims!D:D,MATCH(C10,Claims!A:A,0)),"—")</f>
        <v>24/7 on-call support for critical systems</v>
      </c>
      <c r="I10" s="47" t="str">
        <f aca="false">IFERROR(INDEX(Claims!E:E,MATCH(C10,Claims!A:A,0)),"—")</f>
        <v>PWS 4.1.3</v>
      </c>
    </row>
    <row r="11" customFormat="false" ht="23.85" hidden="false" customHeight="false" outlineLevel="0" collapsed="false">
      <c r="A11" s="36" t="s">
        <v>102</v>
      </c>
      <c r="B11" s="37" t="n">
        <v>45967</v>
      </c>
      <c r="C11" s="48" t="s">
        <v>99</v>
      </c>
      <c r="D11" s="38" t="s">
        <v>79</v>
      </c>
      <c r="E11" s="38" t="s">
        <v>190</v>
      </c>
      <c r="F11" s="38" t="s">
        <v>191</v>
      </c>
      <c r="G11" s="49" t="s">
        <v>175</v>
      </c>
      <c r="H11" s="47" t="str">
        <f aca="false">IFERROR(INDEX(Claims!D:D,MATCH(C11,Claims!A:A,0)),"—")</f>
        <v>Nightly backup with weekly verification log</v>
      </c>
      <c r="I11" s="47" t="str">
        <f aca="false">IFERROR(INDEX(Claims!E:E,MATCH(C11,Claims!A:A,0)),"—")</f>
        <v>QASP 2</v>
      </c>
    </row>
    <row r="12" customFormat="false" ht="23.85" hidden="false" customHeight="false" outlineLevel="0" collapsed="false">
      <c r="A12" s="29" t="s">
        <v>106</v>
      </c>
      <c r="B12" s="30" t="n">
        <v>45966</v>
      </c>
      <c r="C12" s="45" t="s">
        <v>103</v>
      </c>
      <c r="D12" s="31" t="s">
        <v>74</v>
      </c>
      <c r="E12" s="31" t="s">
        <v>192</v>
      </c>
      <c r="F12" s="31" t="s">
        <v>193</v>
      </c>
      <c r="G12" s="46" t="s">
        <v>172</v>
      </c>
      <c r="H12" s="47" t="str">
        <f aca="false">IFERROR(INDEX(Claims!D:D,MATCH(C12,Claims!A:A,0)),"—")</f>
        <v>Network monitoring dashboard real-time 5-min refresh</v>
      </c>
      <c r="I12" s="47" t="str">
        <f aca="false">IFERROR(INDEX(Claims!E:E,MATCH(C12,Claims!A:A,0)),"—")</f>
        <v>QASP 4</v>
      </c>
    </row>
    <row r="13" customFormat="false" ht="23.85" hidden="false" customHeight="false" outlineLevel="0" collapsed="false">
      <c r="A13" s="36" t="s">
        <v>110</v>
      </c>
      <c r="B13" s="37" t="n">
        <v>45980</v>
      </c>
      <c r="C13" s="48" t="s">
        <v>107</v>
      </c>
      <c r="D13" s="38" t="s">
        <v>79</v>
      </c>
      <c r="E13" s="38" t="s">
        <v>194</v>
      </c>
      <c r="F13" s="38" t="s">
        <v>195</v>
      </c>
      <c r="G13" s="49" t="s">
        <v>175</v>
      </c>
      <c r="H13" s="47" t="str">
        <f aca="false">IFERROR(INDEX(Claims!D:D,MATCH(C13,Claims!A:A,0)),"—")</f>
        <v>Incident response within 30 min of detection</v>
      </c>
      <c r="I13" s="47" t="str">
        <f aca="false">IFERROR(INDEX(Claims!E:E,MATCH(C13,Claims!A:A,0)),"—")</f>
        <v>TO Mod 001</v>
      </c>
    </row>
    <row r="14" customFormat="false" ht="23.85" hidden="false" customHeight="false" outlineLevel="0" collapsed="false">
      <c r="A14" s="29" t="s">
        <v>114</v>
      </c>
      <c r="B14" s="30" t="n">
        <v>45987</v>
      </c>
      <c r="C14" s="45" t="s">
        <v>111</v>
      </c>
      <c r="D14" s="31" t="s">
        <v>59</v>
      </c>
      <c r="E14" s="31" t="s">
        <v>196</v>
      </c>
      <c r="F14" s="31" t="s">
        <v>197</v>
      </c>
      <c r="G14" s="50" t="s">
        <v>175</v>
      </c>
      <c r="H14" s="47" t="str">
        <f aca="false">IFERROR(INDEX(Claims!D:D,MATCH(C14,Claims!A:A,0)),"—")</f>
        <v>Documentation per DI-MGMT-81466</v>
      </c>
      <c r="I14" s="47" t="str">
        <f aca="false">IFERROR(INDEX(Claims!E:E,MATCH(C14,Claims!A:A,0)),"—")</f>
        <v>TO Mod 003</v>
      </c>
    </row>
    <row r="15" customFormat="false" ht="23.85" hidden="false" customHeight="false" outlineLevel="0" collapsed="false">
      <c r="A15" s="36" t="s">
        <v>118</v>
      </c>
      <c r="B15" s="37" t="n">
        <v>45950</v>
      </c>
      <c r="C15" s="48" t="s">
        <v>115</v>
      </c>
      <c r="D15" s="38" t="s">
        <v>69</v>
      </c>
      <c r="E15" s="38" t="s">
        <v>198</v>
      </c>
      <c r="F15" s="38" t="s">
        <v>199</v>
      </c>
      <c r="G15" s="51" t="s">
        <v>172</v>
      </c>
      <c r="H15" s="47" t="str">
        <f aca="false">IFERROR(INDEX(Claims!D:D,MATCH(C15,Claims!A:A,0)),"—")</f>
        <v>Training materials updated within 30 days of change</v>
      </c>
      <c r="I15" s="47" t="str">
        <f aca="false">IFERROR(INDEX(Claims!E:E,MATCH(C15,Claims!A:A,0)),"—")</f>
        <v>Policy 24-01</v>
      </c>
    </row>
    <row r="16" customFormat="false" ht="23.85" hidden="false" customHeight="false" outlineLevel="0" collapsed="false">
      <c r="A16" s="29" t="s">
        <v>122</v>
      </c>
      <c r="B16" s="30" t="n">
        <v>45980</v>
      </c>
      <c r="C16" s="45" t="s">
        <v>119</v>
      </c>
      <c r="D16" s="31" t="s">
        <v>59</v>
      </c>
      <c r="E16" s="31" t="s">
        <v>200</v>
      </c>
      <c r="F16" s="31" t="s">
        <v>201</v>
      </c>
      <c r="G16" s="50" t="s">
        <v>175</v>
      </c>
      <c r="H16" s="47" t="str">
        <f aca="false">IFERROR(INDEX(Claims!D:D,MATCH(C16,Claims!A:A,0)),"—")</f>
        <v>Transition plan 90 days before PoP end</v>
      </c>
      <c r="I16" s="47" t="str">
        <f aca="false">IFERROR(INDEX(Claims!E:E,MATCH(C16,Claims!A:A,0)),"—")</f>
        <v>COR Dir 25-001</v>
      </c>
    </row>
    <row r="17" customFormat="false" ht="23.85" hidden="false" customHeight="false" outlineLevel="0" collapsed="false">
      <c r="A17" s="36" t="s">
        <v>125</v>
      </c>
      <c r="B17" s="37" t="n">
        <v>46018</v>
      </c>
      <c r="C17" s="48" t="s">
        <v>123</v>
      </c>
      <c r="D17" s="38" t="s">
        <v>69</v>
      </c>
      <c r="E17" s="38" t="s">
        <v>202</v>
      </c>
      <c r="F17" s="38" t="s">
        <v>203</v>
      </c>
      <c r="G17" s="49" t="s">
        <v>175</v>
      </c>
      <c r="H17" s="47" t="str">
        <f aca="false">IFERROR(INDEX(Claims!D:D,MATCH(C17,Claims!A:A,0)),"—")</f>
        <v>Comply with NIST 800-171</v>
      </c>
      <c r="I17" s="47" t="str">
        <f aca="false">IFERROR(INDEX(Claims!E:E,MATCH(C17,Claims!A:A,0)),"—")</f>
        <v>SOW 3.1</v>
      </c>
    </row>
    <row r="18" customFormat="false" ht="23.85" hidden="false" customHeight="false" outlineLevel="0" collapsed="false">
      <c r="A18" s="29" t="s">
        <v>128</v>
      </c>
      <c r="B18" s="30" t="n">
        <v>46009</v>
      </c>
      <c r="C18" s="45" t="s">
        <v>126</v>
      </c>
      <c r="D18" s="31" t="s">
        <v>74</v>
      </c>
      <c r="E18" s="31" t="s">
        <v>204</v>
      </c>
      <c r="F18" s="31" t="s">
        <v>205</v>
      </c>
      <c r="G18" s="46" t="s">
        <v>172</v>
      </c>
      <c r="H18" s="47" t="str">
        <f aca="false">IFERROR(INDEX(Claims!D:D,MATCH(C18,Claims!A:A,0)),"—")</f>
        <v>Configuration management plan current</v>
      </c>
      <c r="I18" s="47" t="str">
        <f aca="false">IFERROR(INDEX(Claims!E:E,MATCH(C18,Claims!A:A,0)),"—")</f>
        <v>SOW 3.2</v>
      </c>
    </row>
    <row r="19" customFormat="false" ht="23.85" hidden="false" customHeight="false" outlineLevel="0" collapsed="false">
      <c r="A19" s="36" t="s">
        <v>131</v>
      </c>
      <c r="B19" s="37" t="n">
        <v>45964</v>
      </c>
      <c r="C19" s="48" t="s">
        <v>129</v>
      </c>
      <c r="D19" s="38" t="s">
        <v>69</v>
      </c>
      <c r="E19" s="38" t="s">
        <v>206</v>
      </c>
      <c r="F19" s="38" t="s">
        <v>207</v>
      </c>
      <c r="G19" s="49" t="s">
        <v>175</v>
      </c>
      <c r="H19" s="47" t="str">
        <f aca="false">IFERROR(INDEX(Claims!D:D,MATCH(C19,Claims!A:A,0)),"—")</f>
        <v>Critical CVE patches within 72 hours</v>
      </c>
      <c r="I19" s="47" t="str">
        <f aca="false">IFERROR(INDEX(Claims!E:E,MATCH(C19,Claims!A:A,0)),"—")</f>
        <v>SOW 4.1</v>
      </c>
    </row>
    <row r="20" customFormat="false" ht="23.85" hidden="false" customHeight="false" outlineLevel="0" collapsed="false">
      <c r="A20" s="29" t="s">
        <v>134</v>
      </c>
      <c r="B20" s="30" t="n">
        <v>45977</v>
      </c>
      <c r="C20" s="45" t="s">
        <v>132</v>
      </c>
      <c r="D20" s="31" t="s">
        <v>79</v>
      </c>
      <c r="E20" s="31" t="s">
        <v>208</v>
      </c>
      <c r="F20" s="31" t="s">
        <v>209</v>
      </c>
      <c r="G20" s="46" t="s">
        <v>172</v>
      </c>
      <c r="H20" s="47" t="str">
        <f aca="false">IFERROR(INDEX(Claims!D:D,MATCH(C20,Claims!A:A,0)),"—")</f>
        <v>Travel requires prior COR written approval</v>
      </c>
      <c r="I20" s="47" t="str">
        <f aca="false">IFERROR(INDEX(Claims!E:E,MATCH(C20,Claims!A:A,0)),"—")</f>
        <v>SOW 5.3</v>
      </c>
    </row>
    <row r="21" customFormat="false" ht="23.85" hidden="false" customHeight="false" outlineLevel="0" collapsed="false">
      <c r="A21" s="36" t="s">
        <v>137</v>
      </c>
      <c r="B21" s="37" t="n">
        <v>45979</v>
      </c>
      <c r="C21" s="48" t="s">
        <v>135</v>
      </c>
      <c r="D21" s="38" t="s">
        <v>79</v>
      </c>
      <c r="E21" s="38" t="s">
        <v>210</v>
      </c>
      <c r="F21" s="38" t="s">
        <v>211</v>
      </c>
      <c r="G21" s="51" t="s">
        <v>172</v>
      </c>
      <c r="H21" s="47" t="str">
        <f aca="false">IFERROR(INDEX(Claims!D:D,MATCH(C21,Claims!A:A,0)),"—")</f>
        <v>Monthly financial report with burn-rate by 10th</v>
      </c>
      <c r="I21" s="47" t="str">
        <f aca="false">IFERROR(INDEX(Claims!E:E,MATCH(C21,Claims!A:A,0)),"—")</f>
        <v>CDRL A001</v>
      </c>
    </row>
    <row r="22" customFormat="false" ht="23.85" hidden="false" customHeight="false" outlineLevel="0" collapsed="false">
      <c r="A22" s="29" t="s">
        <v>140</v>
      </c>
      <c r="B22" s="30" t="n">
        <v>46020</v>
      </c>
      <c r="C22" s="45" t="s">
        <v>138</v>
      </c>
      <c r="D22" s="31" t="s">
        <v>74</v>
      </c>
      <c r="E22" s="31" t="s">
        <v>212</v>
      </c>
      <c r="F22" s="31" t="s">
        <v>213</v>
      </c>
      <c r="G22" s="50" t="s">
        <v>175</v>
      </c>
      <c r="H22" s="47" t="str">
        <f aca="false">IFERROR(INDEX(Claims!D:D,MATCH(C22,Claims!A:A,0)),"—")</f>
        <v>Risk register reviewed at each program review</v>
      </c>
      <c r="I22" s="47" t="str">
        <f aca="false">IFERROR(INDEX(Claims!E:E,MATCH(C22,Claims!A:A,0)),"—")</f>
        <v>CDRL A003</v>
      </c>
    </row>
    <row r="23" customFormat="false" ht="23.85" hidden="false" customHeight="false" outlineLevel="0" collapsed="false">
      <c r="A23" s="36" t="s">
        <v>143</v>
      </c>
      <c r="B23" s="37" t="n">
        <v>45974</v>
      </c>
      <c r="C23" s="48" t="s">
        <v>141</v>
      </c>
      <c r="D23" s="38" t="s">
        <v>64</v>
      </c>
      <c r="E23" s="38" t="s">
        <v>214</v>
      </c>
      <c r="F23" s="38" t="s">
        <v>215</v>
      </c>
      <c r="G23" s="51" t="s">
        <v>172</v>
      </c>
      <c r="H23" s="47" t="str">
        <f aca="false">IFERROR(INDEX(Claims!D:D,MATCH(C23,Claims!A:A,0)),"—")</f>
        <v>Key personnel changes require 30-day notice</v>
      </c>
      <c r="I23" s="47" t="str">
        <f aca="false">IFERROR(INDEX(Claims!E:E,MATCH(C23,Claims!A:A,0)),"—")</f>
        <v>CDRL A005</v>
      </c>
    </row>
    <row r="24" customFormat="false" ht="23.85" hidden="false" customHeight="false" outlineLevel="0" collapsed="false">
      <c r="A24" s="29" t="s">
        <v>146</v>
      </c>
      <c r="B24" s="30" t="n">
        <v>46009</v>
      </c>
      <c r="C24" s="45" t="s">
        <v>144</v>
      </c>
      <c r="D24" s="31" t="s">
        <v>59</v>
      </c>
      <c r="E24" s="31" t="s">
        <v>216</v>
      </c>
      <c r="F24" s="31" t="s">
        <v>217</v>
      </c>
      <c r="G24" s="50" t="s">
        <v>175</v>
      </c>
      <c r="H24" s="47" t="str">
        <f aca="false">IFERROR(INDEX(Claims!D:D,MATCH(C24,Claims!A:A,0)),"—")</f>
        <v>GFE tracked in property log</v>
      </c>
      <c r="I24" s="47" t="str">
        <f aca="false">IFERROR(INDEX(Claims!E:E,MATCH(C24,Claims!A:A,0)),"—")</f>
        <v>PWS 3.2.1</v>
      </c>
    </row>
    <row r="25" customFormat="false" ht="23.85" hidden="false" customHeight="false" outlineLevel="0" collapsed="false">
      <c r="A25" s="36" t="s">
        <v>149</v>
      </c>
      <c r="B25" s="37" t="n">
        <v>45960</v>
      </c>
      <c r="C25" s="48" t="s">
        <v>147</v>
      </c>
      <c r="D25" s="38" t="s">
        <v>64</v>
      </c>
      <c r="E25" s="38" t="s">
        <v>218</v>
      </c>
      <c r="F25" s="38" t="s">
        <v>219</v>
      </c>
      <c r="G25" s="49" t="s">
        <v>175</v>
      </c>
      <c r="H25" s="47" t="str">
        <f aca="false">IFERROR(INDEX(Claims!D:D,MATCH(C25,Claims!A:A,0)),"—")</f>
        <v>Test plan approved before testing begins</v>
      </c>
      <c r="I25" s="47" t="str">
        <f aca="false">IFERROR(INDEX(Claims!E:E,MATCH(C25,Claims!A:A,0)),"—")</f>
        <v>PWS 4.1.3</v>
      </c>
    </row>
    <row r="26" customFormat="false" ht="23.85" hidden="false" customHeight="false" outlineLevel="0" collapsed="false">
      <c r="A26" s="29" t="s">
        <v>152</v>
      </c>
      <c r="B26" s="30" t="n">
        <v>46000</v>
      </c>
      <c r="C26" s="45" t="s">
        <v>150</v>
      </c>
      <c r="D26" s="31" t="s">
        <v>79</v>
      </c>
      <c r="E26" s="31" t="s">
        <v>220</v>
      </c>
      <c r="F26" s="31" t="s">
        <v>221</v>
      </c>
      <c r="G26" s="50" t="s">
        <v>175</v>
      </c>
      <c r="H26" s="47" t="str">
        <f aca="false">IFERROR(INDEX(Claims!D:D,MATCH(C26,Claims!A:A,0)),"—")</f>
        <v>Final delivery acceptance within 10 business days</v>
      </c>
      <c r="I26" s="47" t="str">
        <f aca="false">IFERROR(INDEX(Claims!E:E,MATCH(C26,Claims!A:A,0)),"—")</f>
        <v>QASP 2</v>
      </c>
    </row>
  </sheetData>
  <dataValidations count="1">
    <dataValidation allowBlank="true" error="ClaimID must exist in Claims tab" errorStyle="stop" operator="between" showDropDown="false" showErrorMessage="false" showInputMessage="false" sqref="C2:C1000" type="list">
      <formula1>tblClaims[claimid]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88FF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52" t="s">
        <v>222</v>
      </c>
      <c r="B1" s="52" t="s">
        <v>47</v>
      </c>
      <c r="C1" s="52" t="s">
        <v>46</v>
      </c>
      <c r="D1" s="52" t="s">
        <v>163</v>
      </c>
      <c r="E1" s="52" t="s">
        <v>223</v>
      </c>
      <c r="F1" s="52" t="s">
        <v>224</v>
      </c>
      <c r="G1" s="52" t="s">
        <v>225</v>
      </c>
      <c r="H1" s="52" t="s">
        <v>226</v>
      </c>
      <c r="I1" s="44" t="s">
        <v>168</v>
      </c>
      <c r="J1" s="44" t="s">
        <v>227</v>
      </c>
    </row>
    <row r="2" customFormat="false" ht="23.85" hidden="false" customHeight="false" outlineLevel="0" collapsed="false">
      <c r="A2" s="29" t="s">
        <v>228</v>
      </c>
      <c r="B2" s="30" t="n">
        <v>46010</v>
      </c>
      <c r="C2" s="45" t="s">
        <v>58</v>
      </c>
      <c r="D2" s="45" t="s">
        <v>62</v>
      </c>
      <c r="E2" s="31" t="s">
        <v>229</v>
      </c>
      <c r="F2" s="46" t="s">
        <v>172</v>
      </c>
      <c r="G2" s="50" t="s">
        <v>11</v>
      </c>
      <c r="H2" s="31" t="s">
        <v>230</v>
      </c>
      <c r="I2" s="53" t="str">
        <f aca="false">IFERROR(INDEX(Claims!D:D,MATCH(C2,Claims!A:A,0)),"—")</f>
        <v>Monthly status report by 5th business day</v>
      </c>
      <c r="J2" s="54" t="n">
        <f aca="false">IFERROR(B2-INDEX(Events!B:B,MATCH(D2,Events!A:A,0)),"—")</f>
        <v>-4</v>
      </c>
    </row>
    <row r="3" customFormat="false" ht="23.85" hidden="false" customHeight="false" outlineLevel="0" collapsed="false">
      <c r="A3" s="36" t="s">
        <v>231</v>
      </c>
      <c r="B3" s="37" t="n">
        <v>46028</v>
      </c>
      <c r="C3" s="48" t="s">
        <v>63</v>
      </c>
      <c r="D3" s="48" t="s">
        <v>67</v>
      </c>
      <c r="E3" s="38" t="s">
        <v>232</v>
      </c>
      <c r="F3" s="49" t="s">
        <v>175</v>
      </c>
      <c r="G3" s="55" t="s">
        <v>18</v>
      </c>
      <c r="H3" s="38" t="s">
        <v>59</v>
      </c>
      <c r="I3" s="53" t="str">
        <f aca="false">IFERROR(INDEX(Claims!D:D,MATCH(C3,Claims!A:A,0)),"—")</f>
        <v>Software deliverables pass security scan before acceptance</v>
      </c>
      <c r="J3" s="54" t="n">
        <f aca="false">IFERROR(B3-INDEX(Events!B:B,MATCH(D3,Events!A:A,0)),"—")</f>
        <v>72</v>
      </c>
    </row>
    <row r="4" customFormat="false" ht="23.85" hidden="false" customHeight="false" outlineLevel="0" collapsed="false">
      <c r="A4" s="29" t="s">
        <v>233</v>
      </c>
      <c r="B4" s="30" t="n">
        <v>46048</v>
      </c>
      <c r="C4" s="45" t="s">
        <v>68</v>
      </c>
      <c r="D4" s="45" t="s">
        <v>72</v>
      </c>
      <c r="E4" s="31" t="s">
        <v>234</v>
      </c>
      <c r="F4" s="50" t="s">
        <v>175</v>
      </c>
      <c r="G4" s="56" t="s">
        <v>14</v>
      </c>
      <c r="H4" s="31" t="s">
        <v>235</v>
      </c>
      <c r="I4" s="53" t="str">
        <f aca="false">IFERROR(INDEX(Claims!D:D,MATCH(C4,Claims!A:A,0)),"—")</f>
        <v>Maintain 98% system uptime during core hours</v>
      </c>
      <c r="J4" s="54" t="n">
        <f aca="false">IFERROR(B4-INDEX(Events!B:B,MATCH(D4,Events!A:A,0)),"—")</f>
        <v>56</v>
      </c>
    </row>
    <row r="5" customFormat="false" ht="23.85" hidden="false" customHeight="false" outlineLevel="0" collapsed="false">
      <c r="A5" s="36" t="s">
        <v>236</v>
      </c>
      <c r="B5" s="37" t="n">
        <v>46043</v>
      </c>
      <c r="C5" s="48" t="s">
        <v>73</v>
      </c>
      <c r="D5" s="48" t="s">
        <v>77</v>
      </c>
      <c r="E5" s="38" t="s">
        <v>237</v>
      </c>
      <c r="F5" s="49" t="s">
        <v>175</v>
      </c>
      <c r="G5" s="55" t="s">
        <v>18</v>
      </c>
      <c r="H5" s="38" t="s">
        <v>64</v>
      </c>
      <c r="I5" s="53" t="str">
        <f aca="false">IFERROR(INDEX(Claims!D:D,MATCH(C5,Claims!A:A,0)),"—")</f>
        <v>Weekly staffing report due Monday by 1200</v>
      </c>
      <c r="J5" s="54" t="n">
        <f aca="false">IFERROR(B5-INDEX(Events!B:B,MATCH(D5,Events!A:A,0)),"—")</f>
        <v>89</v>
      </c>
    </row>
    <row r="6" customFormat="false" ht="23.85" hidden="false" customHeight="false" outlineLevel="0" collapsed="false">
      <c r="A6" s="29" t="s">
        <v>238</v>
      </c>
      <c r="B6" s="30" t="n">
        <v>45998</v>
      </c>
      <c r="C6" s="45" t="s">
        <v>78</v>
      </c>
      <c r="D6" s="45" t="s">
        <v>82</v>
      </c>
      <c r="E6" s="31" t="s">
        <v>239</v>
      </c>
      <c r="F6" s="46" t="s">
        <v>172</v>
      </c>
      <c r="G6" s="57" t="s">
        <v>17</v>
      </c>
      <c r="H6" s="31" t="s">
        <v>69</v>
      </c>
      <c r="I6" s="53" t="str">
        <f aca="false">IFERROR(INDEX(Claims!D:D,MATCH(C6,Claims!A:A,0)),"—")</f>
        <v>All personnel hold TS/SCI clearance</v>
      </c>
      <c r="J6" s="54" t="n">
        <f aca="false">IFERROR(B6-INDEX(Events!B:B,MATCH(D6,Events!A:A,0)),"—")</f>
        <v>15</v>
      </c>
    </row>
    <row r="7" customFormat="false" ht="23.85" hidden="false" customHeight="false" outlineLevel="0" collapsed="false">
      <c r="A7" s="36" t="s">
        <v>240</v>
      </c>
      <c r="B7" s="37" t="n">
        <v>46019</v>
      </c>
      <c r="C7" s="48" t="s">
        <v>83</v>
      </c>
      <c r="D7" s="48" t="s">
        <v>86</v>
      </c>
      <c r="E7" s="38" t="s">
        <v>241</v>
      </c>
      <c r="F7" s="49" t="s">
        <v>175</v>
      </c>
      <c r="G7" s="58" t="s">
        <v>14</v>
      </c>
      <c r="H7" s="38" t="s">
        <v>230</v>
      </c>
      <c r="I7" s="53" t="str">
        <f aca="false">IFERROR(INDEX(Claims!D:D,MATCH(C7,Claims!A:A,0)),"—")</f>
        <v>Help desk response within 15 min during business hours</v>
      </c>
      <c r="J7" s="54" t="n">
        <f aca="false">IFERROR(B7-INDEX(Events!B:B,MATCH(D7,Events!A:A,0)),"—")</f>
        <v>61</v>
      </c>
    </row>
    <row r="8" customFormat="false" ht="23.85" hidden="false" customHeight="false" outlineLevel="0" collapsed="false">
      <c r="A8" s="29" t="s">
        <v>242</v>
      </c>
      <c r="B8" s="30" t="n">
        <v>46025</v>
      </c>
      <c r="C8" s="45" t="s">
        <v>87</v>
      </c>
      <c r="D8" s="45" t="s">
        <v>90</v>
      </c>
      <c r="E8" s="31" t="s">
        <v>243</v>
      </c>
      <c r="F8" s="50" t="s">
        <v>175</v>
      </c>
      <c r="G8" s="57" t="s">
        <v>18</v>
      </c>
      <c r="H8" s="31" t="s">
        <v>59</v>
      </c>
      <c r="I8" s="53" t="str">
        <f aca="false">IFERROR(INDEX(Claims!D:D,MATCH(C8,Claims!A:A,0)),"—")</f>
        <v>Quarterly program review by 10th of quarter</v>
      </c>
      <c r="J8" s="54" t="n">
        <f aca="false">IFERROR(B8-INDEX(Events!B:B,MATCH(D8,Events!A:A,0)),"—")</f>
        <v>21</v>
      </c>
    </row>
    <row r="9" customFormat="false" ht="23.85" hidden="false" customHeight="false" outlineLevel="0" collapsed="false">
      <c r="A9" s="36" t="s">
        <v>244</v>
      </c>
      <c r="B9" s="37" t="n">
        <v>46041</v>
      </c>
      <c r="C9" s="48" t="s">
        <v>91</v>
      </c>
      <c r="D9" s="48" t="s">
        <v>94</v>
      </c>
      <c r="E9" s="38" t="s">
        <v>245</v>
      </c>
      <c r="F9" s="49" t="s">
        <v>175</v>
      </c>
      <c r="G9" s="55" t="s">
        <v>17</v>
      </c>
      <c r="H9" s="38" t="s">
        <v>235</v>
      </c>
      <c r="I9" s="53" t="str">
        <f aca="false">IFERROR(INDEX(Claims!D:D,MATCH(C9,Claims!A:A,0)),"—")</f>
        <v>Code commits include &gt;80% unit test coverage</v>
      </c>
      <c r="J9" s="54" t="n">
        <f aca="false">IFERROR(B9-INDEX(Events!B:B,MATCH(D9,Events!A:A,0)),"—")</f>
        <v>48</v>
      </c>
    </row>
    <row r="10" customFormat="false" ht="23.85" hidden="false" customHeight="false" outlineLevel="0" collapsed="false">
      <c r="A10" s="29" t="s">
        <v>246</v>
      </c>
      <c r="B10" s="30" t="n">
        <v>45980</v>
      </c>
      <c r="C10" s="45" t="s">
        <v>95</v>
      </c>
      <c r="D10" s="45" t="s">
        <v>98</v>
      </c>
      <c r="E10" s="31" t="s">
        <v>247</v>
      </c>
      <c r="F10" s="50" t="s">
        <v>175</v>
      </c>
      <c r="G10" s="57" t="s">
        <v>17</v>
      </c>
      <c r="H10" s="31" t="s">
        <v>64</v>
      </c>
      <c r="I10" s="53" t="str">
        <f aca="false">IFERROR(INDEX(Claims!D:D,MATCH(C10,Claims!A:A,0)),"—")</f>
        <v>24/7 on-call support for critical systems</v>
      </c>
      <c r="J10" s="54" t="n">
        <f aca="false">IFERROR(B10-INDEX(Events!B:B,MATCH(D10,Events!A:A,0)),"—")</f>
        <v>0</v>
      </c>
    </row>
    <row r="11" customFormat="false" ht="23.85" hidden="false" customHeight="false" outlineLevel="0" collapsed="false">
      <c r="A11" s="36" t="s">
        <v>248</v>
      </c>
      <c r="B11" s="37" t="n">
        <v>46030</v>
      </c>
      <c r="C11" s="48" t="s">
        <v>99</v>
      </c>
      <c r="D11" s="48" t="s">
        <v>102</v>
      </c>
      <c r="E11" s="38" t="s">
        <v>249</v>
      </c>
      <c r="F11" s="51" t="s">
        <v>172</v>
      </c>
      <c r="G11" s="55" t="s">
        <v>18</v>
      </c>
      <c r="H11" s="38" t="s">
        <v>69</v>
      </c>
      <c r="I11" s="53" t="str">
        <f aca="false">IFERROR(INDEX(Claims!D:D,MATCH(C11,Claims!A:A,0)),"—")</f>
        <v>Nightly backup with weekly verification log</v>
      </c>
      <c r="J11" s="54" t="n">
        <f aca="false">IFERROR(B11-INDEX(Events!B:B,MATCH(D11,Events!A:A,0)),"—")</f>
        <v>63</v>
      </c>
    </row>
    <row r="12" customFormat="false" ht="23.85" hidden="false" customHeight="false" outlineLevel="0" collapsed="false">
      <c r="A12" s="29" t="s">
        <v>250</v>
      </c>
      <c r="B12" s="30" t="n">
        <v>46037</v>
      </c>
      <c r="C12" s="45" t="s">
        <v>103</v>
      </c>
      <c r="D12" s="45" t="s">
        <v>106</v>
      </c>
      <c r="E12" s="31" t="s">
        <v>251</v>
      </c>
      <c r="F12" s="50" t="s">
        <v>175</v>
      </c>
      <c r="G12" s="50" t="s">
        <v>11</v>
      </c>
      <c r="H12" s="31" t="s">
        <v>230</v>
      </c>
      <c r="I12" s="53" t="str">
        <f aca="false">IFERROR(INDEX(Claims!D:D,MATCH(C12,Claims!A:A,0)),"—")</f>
        <v>Network monitoring dashboard real-time 5-min refresh</v>
      </c>
      <c r="J12" s="54" t="n">
        <f aca="false">IFERROR(B12-INDEX(Events!B:B,MATCH(D12,Events!A:A,0)),"—")</f>
        <v>71</v>
      </c>
    </row>
    <row r="13" customFormat="false" ht="23.85" hidden="false" customHeight="false" outlineLevel="0" collapsed="false">
      <c r="A13" s="36" t="s">
        <v>252</v>
      </c>
      <c r="B13" s="37" t="n">
        <v>45963</v>
      </c>
      <c r="C13" s="48" t="s">
        <v>107</v>
      </c>
      <c r="D13" s="48" t="s">
        <v>110</v>
      </c>
      <c r="E13" s="38" t="s">
        <v>253</v>
      </c>
      <c r="F13" s="49" t="s">
        <v>175</v>
      </c>
      <c r="G13" s="58" t="s">
        <v>14</v>
      </c>
      <c r="H13" s="38" t="s">
        <v>59</v>
      </c>
      <c r="I13" s="53" t="str">
        <f aca="false">IFERROR(INDEX(Claims!D:D,MATCH(C13,Claims!A:A,0)),"—")</f>
        <v>Incident response within 30 min of detection</v>
      </c>
      <c r="J13" s="54" t="n">
        <f aca="false">IFERROR(B13-INDEX(Events!B:B,MATCH(D13,Events!A:A,0)),"—")</f>
        <v>-17</v>
      </c>
    </row>
    <row r="14" customFormat="false" ht="23.85" hidden="false" customHeight="false" outlineLevel="0" collapsed="false">
      <c r="A14" s="29" t="s">
        <v>254</v>
      </c>
      <c r="B14" s="30" t="n">
        <v>46000</v>
      </c>
      <c r="C14" s="45" t="s">
        <v>111</v>
      </c>
      <c r="D14" s="45" t="s">
        <v>114</v>
      </c>
      <c r="E14" s="31" t="s">
        <v>255</v>
      </c>
      <c r="F14" s="50" t="s">
        <v>175</v>
      </c>
      <c r="G14" s="57" t="s">
        <v>18</v>
      </c>
      <c r="H14" s="31" t="s">
        <v>235</v>
      </c>
      <c r="I14" s="53" t="str">
        <f aca="false">IFERROR(INDEX(Claims!D:D,MATCH(C14,Claims!A:A,0)),"—")</f>
        <v>Documentation per DI-MGMT-81466</v>
      </c>
      <c r="J14" s="54" t="n">
        <f aca="false">IFERROR(B14-INDEX(Events!B:B,MATCH(D14,Events!A:A,0)),"—")</f>
        <v>13</v>
      </c>
    </row>
    <row r="15" customFormat="false" ht="23.85" hidden="false" customHeight="false" outlineLevel="0" collapsed="false">
      <c r="A15" s="36" t="s">
        <v>256</v>
      </c>
      <c r="B15" s="37" t="n">
        <v>45991</v>
      </c>
      <c r="C15" s="48" t="s">
        <v>115</v>
      </c>
      <c r="D15" s="48" t="s">
        <v>118</v>
      </c>
      <c r="E15" s="38" t="s">
        <v>257</v>
      </c>
      <c r="F15" s="51" t="s">
        <v>172</v>
      </c>
      <c r="G15" s="55" t="s">
        <v>18</v>
      </c>
      <c r="H15" s="38" t="s">
        <v>64</v>
      </c>
      <c r="I15" s="53" t="str">
        <f aca="false">IFERROR(INDEX(Claims!D:D,MATCH(C15,Claims!A:A,0)),"—")</f>
        <v>Training materials updated within 30 days of change</v>
      </c>
      <c r="J15" s="54" t="n">
        <f aca="false">IFERROR(B15-INDEX(Events!B:B,MATCH(D15,Events!A:A,0)),"—")</f>
        <v>41</v>
      </c>
    </row>
    <row r="16" customFormat="false" ht="23.85" hidden="false" customHeight="false" outlineLevel="0" collapsed="false">
      <c r="A16" s="29" t="s">
        <v>258</v>
      </c>
      <c r="B16" s="30" t="n">
        <v>45971</v>
      </c>
      <c r="C16" s="45" t="s">
        <v>119</v>
      </c>
      <c r="D16" s="45" t="s">
        <v>122</v>
      </c>
      <c r="E16" s="31" t="s">
        <v>259</v>
      </c>
      <c r="F16" s="46" t="s">
        <v>172</v>
      </c>
      <c r="G16" s="57" t="s">
        <v>18</v>
      </c>
      <c r="H16" s="31" t="s">
        <v>69</v>
      </c>
      <c r="I16" s="53" t="str">
        <f aca="false">IFERROR(INDEX(Claims!D:D,MATCH(C16,Claims!A:A,0)),"—")</f>
        <v>Transition plan 90 days before PoP end</v>
      </c>
      <c r="J16" s="54" t="n">
        <f aca="false">IFERROR(B16-INDEX(Events!B:B,MATCH(D16,Events!A:A,0)),"—")</f>
        <v>-9</v>
      </c>
    </row>
    <row r="17" customFormat="false" ht="23.85" hidden="false" customHeight="false" outlineLevel="0" collapsed="false">
      <c r="A17" s="36" t="s">
        <v>260</v>
      </c>
      <c r="B17" s="37" t="n">
        <v>46029</v>
      </c>
      <c r="C17" s="48" t="s">
        <v>123</v>
      </c>
      <c r="D17" s="48" t="s">
        <v>125</v>
      </c>
      <c r="E17" s="38" t="s">
        <v>261</v>
      </c>
      <c r="F17" s="49" t="s">
        <v>175</v>
      </c>
      <c r="G17" s="55" t="s">
        <v>17</v>
      </c>
      <c r="H17" s="38" t="s">
        <v>230</v>
      </c>
      <c r="I17" s="53" t="str">
        <f aca="false">IFERROR(INDEX(Claims!D:D,MATCH(C17,Claims!A:A,0)),"—")</f>
        <v>Comply with NIST 800-171</v>
      </c>
      <c r="J17" s="54" t="n">
        <f aca="false">IFERROR(B17-INDEX(Events!B:B,MATCH(D17,Events!A:A,0)),"—")</f>
        <v>11</v>
      </c>
    </row>
    <row r="18" customFormat="false" ht="23.85" hidden="false" customHeight="false" outlineLevel="0" collapsed="false">
      <c r="A18" s="29" t="s">
        <v>262</v>
      </c>
      <c r="B18" s="30" t="n">
        <v>46045</v>
      </c>
      <c r="C18" s="45" t="s">
        <v>126</v>
      </c>
      <c r="D18" s="45" t="s">
        <v>128</v>
      </c>
      <c r="E18" s="31" t="s">
        <v>263</v>
      </c>
      <c r="F18" s="46" t="s">
        <v>172</v>
      </c>
      <c r="G18" s="57" t="s">
        <v>17</v>
      </c>
      <c r="H18" s="31" t="s">
        <v>59</v>
      </c>
      <c r="I18" s="53" t="str">
        <f aca="false">IFERROR(INDEX(Claims!D:D,MATCH(C18,Claims!A:A,0)),"—")</f>
        <v>Configuration management plan current</v>
      </c>
      <c r="J18" s="54" t="n">
        <f aca="false">IFERROR(B18-INDEX(Events!B:B,MATCH(D18,Events!A:A,0)),"—")</f>
        <v>36</v>
      </c>
    </row>
    <row r="19" customFormat="false" ht="23.85" hidden="false" customHeight="false" outlineLevel="0" collapsed="false">
      <c r="A19" s="36" t="s">
        <v>264</v>
      </c>
      <c r="B19" s="37" t="n">
        <v>45994</v>
      </c>
      <c r="C19" s="48" t="s">
        <v>129</v>
      </c>
      <c r="D19" s="48" t="s">
        <v>131</v>
      </c>
      <c r="E19" s="38" t="s">
        <v>265</v>
      </c>
      <c r="F19" s="51" t="s">
        <v>172</v>
      </c>
      <c r="G19" s="49" t="s">
        <v>11</v>
      </c>
      <c r="H19" s="38" t="s">
        <v>235</v>
      </c>
      <c r="I19" s="53" t="str">
        <f aca="false">IFERROR(INDEX(Claims!D:D,MATCH(C19,Claims!A:A,0)),"—")</f>
        <v>Critical CVE patches within 72 hours</v>
      </c>
      <c r="J19" s="54" t="n">
        <f aca="false">IFERROR(B19-INDEX(Events!B:B,MATCH(D19,Events!A:A,0)),"—")</f>
        <v>30</v>
      </c>
    </row>
    <row r="20" customFormat="false" ht="23.85" hidden="false" customHeight="false" outlineLevel="0" collapsed="false">
      <c r="A20" s="29" t="s">
        <v>266</v>
      </c>
      <c r="B20" s="30" t="n">
        <v>45988</v>
      </c>
      <c r="C20" s="45" t="s">
        <v>132</v>
      </c>
      <c r="D20" s="45" t="s">
        <v>134</v>
      </c>
      <c r="E20" s="31" t="s">
        <v>267</v>
      </c>
      <c r="F20" s="46" t="s">
        <v>172</v>
      </c>
      <c r="G20" s="57" t="s">
        <v>17</v>
      </c>
      <c r="H20" s="31" t="s">
        <v>64</v>
      </c>
      <c r="I20" s="53" t="str">
        <f aca="false">IFERROR(INDEX(Claims!D:D,MATCH(C20,Claims!A:A,0)),"—")</f>
        <v>Travel requires prior COR written approval</v>
      </c>
      <c r="J20" s="54" t="n">
        <f aca="false">IFERROR(B20-INDEX(Events!B:B,MATCH(D20,Events!A:A,0)),"—")</f>
        <v>11</v>
      </c>
    </row>
    <row r="21" customFormat="false" ht="23.85" hidden="false" customHeight="false" outlineLevel="0" collapsed="false">
      <c r="A21" s="36" t="s">
        <v>268</v>
      </c>
      <c r="B21" s="37" t="n">
        <v>46000</v>
      </c>
      <c r="C21" s="48" t="s">
        <v>135</v>
      </c>
      <c r="D21" s="48" t="s">
        <v>137</v>
      </c>
      <c r="E21" s="38" t="s">
        <v>269</v>
      </c>
      <c r="F21" s="51" t="s">
        <v>172</v>
      </c>
      <c r="G21" s="58" t="s">
        <v>14</v>
      </c>
      <c r="H21" s="38" t="s">
        <v>69</v>
      </c>
      <c r="I21" s="53" t="str">
        <f aca="false">IFERROR(INDEX(Claims!D:D,MATCH(C21,Claims!A:A,0)),"—")</f>
        <v>Monthly financial report with burn-rate by 10th</v>
      </c>
      <c r="J21" s="54" t="n">
        <f aca="false">IFERROR(B21-INDEX(Events!B:B,MATCH(D21,Events!A:A,0)),"—")</f>
        <v>21</v>
      </c>
    </row>
  </sheetData>
  <conditionalFormatting sqref="F2:F21">
    <cfRule type="expression" priority="2" aboveAverage="0" equalAverage="0" bottom="0" percent="0" rank="0" text="" dxfId="10">
      <formula>AND(F2="Y",(TODAY()-B2)&gt;14)</formula>
    </cfRule>
  </conditionalFormatting>
  <dataValidations count="2">
    <dataValidation allowBlank="true" errorStyle="stop" operator="between" showDropDown="false" showErrorMessage="false" showInputMessage="false" sqref="C2:C1000" type="list">
      <formula1>tblClaims[claimid]</formula1>
      <formula2>0</formula2>
    </dataValidation>
    <dataValidation allowBlank="true" errorStyle="stop" operator="between" showDropDown="false" showErrorMessage="false" showInputMessage="false" sqref="D2:D1000" type="list">
      <formula1>tblEvents[eventid]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8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42"/>
  </cols>
  <sheetData>
    <row r="1" customFormat="false" ht="15" hidden="false" customHeight="false" outlineLevel="0" collapsed="false">
      <c r="A1" s="59" t="s">
        <v>270</v>
      </c>
      <c r="B1" s="59" t="s">
        <v>47</v>
      </c>
      <c r="C1" s="59" t="s">
        <v>222</v>
      </c>
      <c r="D1" s="59" t="s">
        <v>46</v>
      </c>
      <c r="E1" s="59" t="s">
        <v>271</v>
      </c>
      <c r="F1" s="59" t="s">
        <v>272</v>
      </c>
      <c r="G1" s="59" t="s">
        <v>273</v>
      </c>
      <c r="H1" s="59" t="s">
        <v>51</v>
      </c>
      <c r="I1" s="44" t="s">
        <v>168</v>
      </c>
      <c r="J1" s="44" t="s">
        <v>274</v>
      </c>
    </row>
    <row r="2" customFormat="false" ht="23.85" hidden="false" customHeight="false" outlineLevel="0" collapsed="false">
      <c r="A2" s="29" t="s">
        <v>275</v>
      </c>
      <c r="B2" s="30" t="n">
        <v>46022</v>
      </c>
      <c r="C2" s="45" t="s">
        <v>228</v>
      </c>
      <c r="D2" s="45" t="s">
        <v>58</v>
      </c>
      <c r="E2" s="31" t="s">
        <v>276</v>
      </c>
      <c r="F2" s="31" t="s">
        <v>277</v>
      </c>
      <c r="G2" s="31" t="s">
        <v>74</v>
      </c>
      <c r="H2" s="60" t="s">
        <v>6</v>
      </c>
      <c r="I2" s="47" t="str">
        <f aca="false">IFERROR(INDEX(Claims!D:D,MATCH(D2,Claims!A:A,0)),"—")</f>
        <v>Monthly status report by 5th business day</v>
      </c>
      <c r="J2" s="47" t="str">
        <f aca="false">IFERROR(INDEX(Reviews!E:E,MATCH(C2,Reviews!A:A,0)),"—")</f>
        <v>3 of 4 reports late. Pattern.</v>
      </c>
    </row>
    <row r="3" customFormat="false" ht="23.85" hidden="false" customHeight="false" outlineLevel="0" collapsed="false">
      <c r="A3" s="36" t="s">
        <v>278</v>
      </c>
      <c r="B3" s="37" t="n">
        <v>46023</v>
      </c>
      <c r="C3" s="48" t="s">
        <v>231</v>
      </c>
      <c r="D3" s="48" t="s">
        <v>63</v>
      </c>
      <c r="E3" s="38" t="s">
        <v>279</v>
      </c>
      <c r="F3" s="38" t="s">
        <v>280</v>
      </c>
      <c r="G3" s="38" t="s">
        <v>69</v>
      </c>
      <c r="H3" s="49" t="s">
        <v>281</v>
      </c>
      <c r="I3" s="47" t="str">
        <f aca="false">IFERROR(INDEX(Claims!D:D,MATCH(D3,Claims!A:A,0)),"—")</f>
        <v>Software deliverables pass security scan before acceptance</v>
      </c>
      <c r="J3" s="47" t="str">
        <f aca="false">IFERROR(INDEX(Reviews!E:E,MATCH(C3,Reviews!A:A,0)),"—")</f>
        <v>Critical findings. Cannot accept.</v>
      </c>
    </row>
    <row r="4" customFormat="false" ht="23.85" hidden="false" customHeight="false" outlineLevel="0" collapsed="false">
      <c r="A4" s="29" t="s">
        <v>282</v>
      </c>
      <c r="B4" s="30" t="n">
        <v>45997</v>
      </c>
      <c r="C4" s="45" t="s">
        <v>233</v>
      </c>
      <c r="D4" s="45" t="s">
        <v>68</v>
      </c>
      <c r="E4" s="31" t="s">
        <v>283</v>
      </c>
      <c r="F4" s="31" t="s">
        <v>284</v>
      </c>
      <c r="G4" s="31" t="s">
        <v>285</v>
      </c>
      <c r="H4" s="57" t="s">
        <v>286</v>
      </c>
      <c r="I4" s="47" t="str">
        <f aca="false">IFERROR(INDEX(Claims!D:D,MATCH(D4,Claims!A:A,0)),"—")</f>
        <v>Maintain 98% system uptime during core hours</v>
      </c>
      <c r="J4" s="47" t="str">
        <f aca="false">IFERROR(INDEX(Reviews!E:E,MATCH(C4,Reviews!A:A,0)),"—")</f>
        <v>Uptime below 2 months. Systemic.</v>
      </c>
    </row>
    <row r="5" customFormat="false" ht="23.85" hidden="false" customHeight="false" outlineLevel="0" collapsed="false">
      <c r="A5" s="36" t="s">
        <v>287</v>
      </c>
      <c r="B5" s="37" t="n">
        <v>45974</v>
      </c>
      <c r="C5" s="48" t="s">
        <v>236</v>
      </c>
      <c r="D5" s="48" t="s">
        <v>73</v>
      </c>
      <c r="E5" s="38" t="s">
        <v>288</v>
      </c>
      <c r="F5" s="38" t="s">
        <v>289</v>
      </c>
      <c r="G5" s="38" t="s">
        <v>74</v>
      </c>
      <c r="H5" s="55" t="s">
        <v>286</v>
      </c>
      <c r="I5" s="47" t="str">
        <f aca="false">IFERROR(INDEX(Claims!D:D,MATCH(D5,Claims!A:A,0)),"—")</f>
        <v>Weekly staffing report due Monday by 1200</v>
      </c>
      <c r="J5" s="47" t="str">
        <f aca="false">IFERROR(INDEX(Reviews!E:E,MATCH(C5,Reviews!A:A,0)),"—")</f>
        <v>Minor. Verbal counseling. Monitor 4 weeks.</v>
      </c>
    </row>
    <row r="6" customFormat="false" ht="23.85" hidden="false" customHeight="false" outlineLevel="0" collapsed="false">
      <c r="A6" s="29" t="s">
        <v>290</v>
      </c>
      <c r="B6" s="30" t="n">
        <v>45968</v>
      </c>
      <c r="C6" s="45" t="s">
        <v>238</v>
      </c>
      <c r="D6" s="45" t="s">
        <v>78</v>
      </c>
      <c r="E6" s="31" t="s">
        <v>291</v>
      </c>
      <c r="F6" s="31" t="s">
        <v>292</v>
      </c>
      <c r="G6" s="31" t="s">
        <v>69</v>
      </c>
      <c r="H6" s="60" t="s">
        <v>6</v>
      </c>
      <c r="I6" s="47" t="str">
        <f aca="false">IFERROR(INDEX(Claims!D:D,MATCH(D6,Claims!A:A,0)),"—")</f>
        <v>All personnel hold TS/SCI clearance</v>
      </c>
      <c r="J6" s="47" t="str">
        <f aca="false">IFERROR(INDEX(Reviews!E:E,MATCH(C6,Reviews!A:A,0)),"—")</f>
        <v>Clearance gap. Cannot access SCIF.</v>
      </c>
    </row>
    <row r="7" customFormat="false" ht="23.85" hidden="false" customHeight="false" outlineLevel="0" collapsed="false">
      <c r="A7" s="36" t="s">
        <v>293</v>
      </c>
      <c r="B7" s="37" t="n">
        <v>46036</v>
      </c>
      <c r="C7" s="48" t="s">
        <v>240</v>
      </c>
      <c r="D7" s="48" t="s">
        <v>83</v>
      </c>
      <c r="E7" s="38" t="s">
        <v>294</v>
      </c>
      <c r="F7" s="38" t="s">
        <v>295</v>
      </c>
      <c r="G7" s="38" t="s">
        <v>285</v>
      </c>
      <c r="H7" s="55" t="s">
        <v>286</v>
      </c>
      <c r="I7" s="47" t="str">
        <f aca="false">IFERROR(INDEX(Claims!D:D,MATCH(D7,Claims!A:A,0)),"—")</f>
        <v>Help desk response within 15 min during business hours</v>
      </c>
      <c r="J7" s="47" t="str">
        <f aca="false">IFERROR(INDEX(Reviews!E:E,MATCH(C7,Reviews!A:A,0)),"—")</f>
        <v>SLA breach 5 of 8 weeks. Not isolated.</v>
      </c>
    </row>
    <row r="8" customFormat="false" ht="23.85" hidden="false" customHeight="false" outlineLevel="0" collapsed="false">
      <c r="A8" s="29" t="s">
        <v>296</v>
      </c>
      <c r="B8" s="30" t="n">
        <v>46041</v>
      </c>
      <c r="C8" s="45" t="s">
        <v>242</v>
      </c>
      <c r="D8" s="45" t="s">
        <v>87</v>
      </c>
      <c r="E8" s="31" t="s">
        <v>297</v>
      </c>
      <c r="F8" s="31" t="s">
        <v>298</v>
      </c>
      <c r="G8" s="31" t="s">
        <v>74</v>
      </c>
      <c r="H8" s="57" t="s">
        <v>286</v>
      </c>
      <c r="I8" s="47" t="str">
        <f aca="false">IFERROR(INDEX(Claims!D:D,MATCH(D8,Claims!A:A,0)),"—")</f>
        <v>Quarterly program review by 10th of quarter</v>
      </c>
      <c r="J8" s="47" t="str">
        <f aca="false">IFERROR(INDEX(Reviews!E:E,MATCH(C8,Reviews!A:A,0)),"—")</f>
        <v>Content ok. Format needs work. Minor.</v>
      </c>
    </row>
    <row r="9" customFormat="false" ht="23.85" hidden="false" customHeight="false" outlineLevel="0" collapsed="false">
      <c r="A9" s="36" t="s">
        <v>299</v>
      </c>
      <c r="B9" s="37" t="n">
        <v>45966</v>
      </c>
      <c r="C9" s="48" t="s">
        <v>244</v>
      </c>
      <c r="D9" s="48" t="s">
        <v>91</v>
      </c>
      <c r="E9" s="38" t="s">
        <v>300</v>
      </c>
      <c r="F9" s="38" t="s">
        <v>301</v>
      </c>
      <c r="G9" s="38" t="s">
        <v>69</v>
      </c>
      <c r="H9" s="49" t="s">
        <v>281</v>
      </c>
      <c r="I9" s="47" t="str">
        <f aca="false">IFERROR(INDEX(Claims!D:D,MATCH(D9,Claims!A:A,0)),"—")</f>
        <v>Code commits include &gt;80% unit test coverage</v>
      </c>
      <c r="J9" s="47" t="str">
        <f aca="false">IFERROR(INDEX(Reviews!E:E,MATCH(C9,Reviews!A:A,0)),"—")</f>
        <v>Coverage deficit. Quality risk.</v>
      </c>
    </row>
    <row r="10" customFormat="false" ht="23.85" hidden="false" customHeight="false" outlineLevel="0" collapsed="false">
      <c r="A10" s="29" t="s">
        <v>302</v>
      </c>
      <c r="B10" s="30" t="n">
        <v>46056</v>
      </c>
      <c r="C10" s="45" t="s">
        <v>246</v>
      </c>
      <c r="D10" s="45" t="s">
        <v>95</v>
      </c>
      <c r="E10" s="31" t="s">
        <v>303</v>
      </c>
      <c r="F10" s="31" t="s">
        <v>304</v>
      </c>
      <c r="G10" s="31" t="s">
        <v>285</v>
      </c>
      <c r="H10" s="60" t="s">
        <v>6</v>
      </c>
      <c r="I10" s="47" t="str">
        <f aca="false">IFERROR(INDEX(Claims!D:D,MATCH(D10,Claims!A:A,0)),"—")</f>
        <v>24/7 on-call support for critical systems</v>
      </c>
      <c r="J10" s="47" t="str">
        <f aca="false">IFERROR(INDEX(Reviews!E:E,MATCH(C10,Reviews!A:A,0)),"—")</f>
        <v>On-call failure during Sev1. Critical.</v>
      </c>
    </row>
    <row r="11" customFormat="false" ht="23.85" hidden="false" customHeight="false" outlineLevel="0" collapsed="false">
      <c r="A11" s="36" t="s">
        <v>305</v>
      </c>
      <c r="B11" s="37" t="n">
        <v>45973</v>
      </c>
      <c r="C11" s="48" t="s">
        <v>248</v>
      </c>
      <c r="D11" s="48" t="s">
        <v>99</v>
      </c>
      <c r="E11" s="38" t="s">
        <v>306</v>
      </c>
      <c r="F11" s="38" t="s">
        <v>307</v>
      </c>
      <c r="G11" s="38" t="s">
        <v>74</v>
      </c>
      <c r="H11" s="55" t="s">
        <v>286</v>
      </c>
      <c r="I11" s="47" t="str">
        <f aca="false">IFERROR(INDEX(Claims!D:D,MATCH(D11,Claims!A:A,0)),"—")</f>
        <v>Nightly backup with weekly verification log</v>
      </c>
      <c r="J11" s="47" t="str">
        <f aca="false">IFERROR(INDEX(Reviews!E:E,MATCH(C11,Reviews!A:A,0)),"—")</f>
        <v>Backup failures. Data loss risk.</v>
      </c>
    </row>
    <row r="12" customFormat="false" ht="23.85" hidden="false" customHeight="false" outlineLevel="0" collapsed="false">
      <c r="A12" s="29" t="s">
        <v>308</v>
      </c>
      <c r="B12" s="30" t="n">
        <v>45974</v>
      </c>
      <c r="C12" s="45" t="s">
        <v>250</v>
      </c>
      <c r="D12" s="45" t="s">
        <v>103</v>
      </c>
      <c r="E12" s="31" t="s">
        <v>309</v>
      </c>
      <c r="F12" s="31" t="s">
        <v>310</v>
      </c>
      <c r="G12" s="31" t="s">
        <v>69</v>
      </c>
      <c r="H12" s="50" t="s">
        <v>281</v>
      </c>
      <c r="I12" s="47" t="str">
        <f aca="false">IFERROR(INDEX(Claims!D:D,MATCH(D12,Claims!A:A,0)),"—")</f>
        <v>Network monitoring dashboard real-time 5-min refresh</v>
      </c>
      <c r="J12" s="47" t="str">
        <f aca="false">IFERROR(INDEX(Reviews!E:E,MATCH(C12,Reviews!A:A,0)),"—")</f>
        <v>Gap acceptable during maintenance.</v>
      </c>
    </row>
    <row r="13" customFormat="false" ht="23.85" hidden="false" customHeight="false" outlineLevel="0" collapsed="false">
      <c r="A13" s="36" t="s">
        <v>311</v>
      </c>
      <c r="B13" s="37" t="n">
        <v>46008</v>
      </c>
      <c r="C13" s="48" t="s">
        <v>252</v>
      </c>
      <c r="D13" s="48" t="s">
        <v>107</v>
      </c>
      <c r="E13" s="38" t="s">
        <v>312</v>
      </c>
      <c r="F13" s="38" t="s">
        <v>313</v>
      </c>
      <c r="G13" s="38" t="s">
        <v>285</v>
      </c>
      <c r="H13" s="49" t="s">
        <v>281</v>
      </c>
      <c r="I13" s="47" t="str">
        <f aca="false">IFERROR(INDEX(Claims!D:D,MATCH(D13,Claims!A:A,0)),"—")</f>
        <v>Incident response within 30 min of detection</v>
      </c>
      <c r="J13" s="47" t="str">
        <f aca="false">IFERROR(INDEX(Reviews!E:E,MATCH(C13,Reviews!A:A,0)),"—")</f>
        <v>Response time critical. Playbook not followed.</v>
      </c>
    </row>
    <row r="14" customFormat="false" ht="23.85" hidden="false" customHeight="false" outlineLevel="0" collapsed="false">
      <c r="A14" s="29" t="s">
        <v>314</v>
      </c>
      <c r="B14" s="30" t="n">
        <v>46031</v>
      </c>
      <c r="C14" s="45" t="s">
        <v>254</v>
      </c>
      <c r="D14" s="45" t="s">
        <v>111</v>
      </c>
      <c r="E14" s="31" t="s">
        <v>315</v>
      </c>
      <c r="F14" s="31" t="s">
        <v>316</v>
      </c>
      <c r="G14" s="31" t="s">
        <v>74</v>
      </c>
      <c r="H14" s="57" t="s">
        <v>286</v>
      </c>
      <c r="I14" s="47" t="str">
        <f aca="false">IFERROR(INDEX(Claims!D:D,MATCH(D14,Claims!A:A,0)),"—")</f>
        <v>Documentation per DI-MGMT-81466</v>
      </c>
      <c r="J14" s="47" t="str">
        <f aca="false">IFERROR(INDEX(Reviews!E:E,MATCH(C14,Reviews!A:A,0)),"—")</f>
        <v>Format non-conformance. Correctable.</v>
      </c>
    </row>
    <row r="15" customFormat="false" ht="23.85" hidden="false" customHeight="false" outlineLevel="0" collapsed="false">
      <c r="A15" s="36" t="s">
        <v>317</v>
      </c>
      <c r="B15" s="37" t="n">
        <v>46001</v>
      </c>
      <c r="C15" s="48" t="s">
        <v>256</v>
      </c>
      <c r="D15" s="48" t="s">
        <v>115</v>
      </c>
      <c r="E15" s="38" t="s">
        <v>318</v>
      </c>
      <c r="F15" s="38" t="s">
        <v>319</v>
      </c>
      <c r="G15" s="38" t="s">
        <v>69</v>
      </c>
      <c r="H15" s="61" t="s">
        <v>6</v>
      </c>
      <c r="I15" s="47" t="str">
        <f aca="false">IFERROR(INDEX(Claims!D:D,MATCH(D15,Claims!A:A,0)),"—")</f>
        <v>Training materials updated within 30 days of change</v>
      </c>
      <c r="J15" s="47" t="str">
        <f aca="false">IFERROR(INDEX(Reviews!E:E,MATCH(C15,Reviews!A:A,0)),"—")</f>
        <v>Outdated training. Immediate update needed.</v>
      </c>
    </row>
    <row r="16" customFormat="false" ht="23.85" hidden="false" customHeight="false" outlineLevel="0" collapsed="false">
      <c r="A16" s="29" t="s">
        <v>320</v>
      </c>
      <c r="B16" s="30" t="n">
        <v>46028</v>
      </c>
      <c r="C16" s="45" t="s">
        <v>258</v>
      </c>
      <c r="D16" s="45" t="s">
        <v>119</v>
      </c>
      <c r="E16" s="31" t="s">
        <v>321</v>
      </c>
      <c r="F16" s="31" t="s">
        <v>322</v>
      </c>
      <c r="G16" s="31" t="s">
        <v>285</v>
      </c>
      <c r="H16" s="57" t="s">
        <v>286</v>
      </c>
      <c r="I16" s="47" t="str">
        <f aca="false">IFERROR(INDEX(Claims!D:D,MATCH(D16,Claims!A:A,0)),"—")</f>
        <v>Transition plan 90 days before PoP end</v>
      </c>
      <c r="J16" s="47" t="str">
        <f aca="false">IFERROR(INDEX(Reviews!E:E,MATCH(C16,Reviews!A:A,0)),"—")</f>
        <v>Late within tolerance. Verbal notice.</v>
      </c>
    </row>
  </sheetData>
  <conditionalFormatting sqref="H2:H16">
    <cfRule type="expression" priority="2" aboveAverage="0" equalAverage="0" bottom="0" percent="0" rank="0" text="" dxfId="10">
      <formula>AND(H2="Pending",(TODAY()-B2)&gt;14)</formula>
    </cfRule>
  </conditionalFormatting>
  <dataValidations count="2">
    <dataValidation allowBlank="true" errorStyle="stop" operator="between" showDropDown="false" showErrorMessage="false" showInputMessage="false" sqref="C2:C1000" type="list">
      <formula1>tblReviews[reviewid]</formula1>
      <formula2>0</formula2>
    </dataValidation>
    <dataValidation allowBlank="true" errorStyle="stop" operator="between" showDropDown="false" showErrorMessage="false" showInputMessage="false" sqref="D2:D1000" type="list">
      <formula1>tblClaims[claimid]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8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55"/>
    <col collapsed="false" customWidth="true" hidden="false" outlineLevel="0" max="6" min="6" style="0" width="35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62" t="s">
        <v>323</v>
      </c>
      <c r="B1" s="62" t="s">
        <v>47</v>
      </c>
      <c r="C1" s="62" t="s">
        <v>270</v>
      </c>
      <c r="D1" s="62" t="s">
        <v>46</v>
      </c>
      <c r="E1" s="62" t="s">
        <v>324</v>
      </c>
      <c r="F1" s="62" t="s">
        <v>166</v>
      </c>
      <c r="G1" s="62" t="s">
        <v>325</v>
      </c>
      <c r="H1" s="44" t="s">
        <v>168</v>
      </c>
      <c r="I1" s="44" t="s">
        <v>326</v>
      </c>
    </row>
    <row r="2" customFormat="false" ht="23.85" hidden="false" customHeight="false" outlineLevel="0" collapsed="false">
      <c r="A2" s="29" t="s">
        <v>327</v>
      </c>
      <c r="B2" s="30" t="n">
        <v>46045</v>
      </c>
      <c r="C2" s="45" t="s">
        <v>275</v>
      </c>
      <c r="D2" s="45" t="s">
        <v>58</v>
      </c>
      <c r="E2" s="31" t="s">
        <v>328</v>
      </c>
      <c r="F2" s="31" t="s">
        <v>329</v>
      </c>
      <c r="G2" s="31" t="s">
        <v>59</v>
      </c>
      <c r="H2" s="47" t="str">
        <f aca="false">IFERROR(INDEX(Claims!D:D,MATCH(D2,Claims!A:A,0)),"—")</f>
        <v>Monthly status report by 5th business day</v>
      </c>
      <c r="I2" s="47" t="str">
        <f aca="false">IFERROR(INDEX(Patches!E:E,MATCH(C2,Patches!A:A,0)),"—")</f>
        <v>COR letter. CAP due April 15.</v>
      </c>
    </row>
    <row r="3" customFormat="false" ht="23.85" hidden="false" customHeight="false" outlineLevel="0" collapsed="false">
      <c r="A3" s="36" t="s">
        <v>330</v>
      </c>
      <c r="B3" s="37" t="n">
        <v>46068</v>
      </c>
      <c r="C3" s="48" t="s">
        <v>278</v>
      </c>
      <c r="D3" s="48" t="s">
        <v>63</v>
      </c>
      <c r="E3" s="38" t="s">
        <v>331</v>
      </c>
      <c r="F3" s="38" t="s">
        <v>332</v>
      </c>
      <c r="G3" s="38" t="s">
        <v>69</v>
      </c>
      <c r="H3" s="47" t="str">
        <f aca="false">IFERROR(INDEX(Claims!D:D,MATCH(D3,Claims!A:A,0)),"—")</f>
        <v>Software deliverables pass security scan before acceptance</v>
      </c>
      <c r="I3" s="47" t="str">
        <f aca="false">IFERROR(INDEX(Patches!E:E,MATCH(C3,Patches!A:A,0)),"—")</f>
        <v>Deliverable returned. Remediate and resubmit.</v>
      </c>
    </row>
    <row r="4" customFormat="false" ht="23.85" hidden="false" customHeight="false" outlineLevel="0" collapsed="false">
      <c r="A4" s="29" t="s">
        <v>333</v>
      </c>
      <c r="B4" s="30" t="n">
        <v>46049</v>
      </c>
      <c r="C4" s="45" t="s">
        <v>282</v>
      </c>
      <c r="D4" s="45" t="s">
        <v>68</v>
      </c>
      <c r="E4" s="31" t="s">
        <v>334</v>
      </c>
      <c r="F4" s="31" t="s">
        <v>335</v>
      </c>
      <c r="G4" s="31" t="s">
        <v>64</v>
      </c>
      <c r="H4" s="47" t="str">
        <f aca="false">IFERROR(INDEX(Claims!D:D,MATCH(D4,Claims!A:A,0)),"—")</f>
        <v>Maintain 98% system uptime during core hours</v>
      </c>
      <c r="I4" s="47" t="str">
        <f aca="false">IFERROR(INDEX(Patches!E:E,MATCH(C4,Patches!A:A,0)),"—")</f>
        <v>PIP required 14 days. Monitor 2 months.</v>
      </c>
    </row>
    <row r="5" customFormat="false" ht="23.85" hidden="false" customHeight="false" outlineLevel="0" collapsed="false">
      <c r="A5" s="36" t="s">
        <v>336</v>
      </c>
      <c r="B5" s="37" t="n">
        <v>46007</v>
      </c>
      <c r="C5" s="48" t="s">
        <v>287</v>
      </c>
      <c r="D5" s="48" t="s">
        <v>73</v>
      </c>
      <c r="E5" s="38" t="s">
        <v>337</v>
      </c>
      <c r="F5" s="38" t="s">
        <v>338</v>
      </c>
      <c r="G5" s="38" t="s">
        <v>64</v>
      </c>
      <c r="H5" s="47" t="str">
        <f aca="false">IFERROR(INDEX(Claims!D:D,MATCH(D5,Claims!A:A,0)),"—")</f>
        <v>Weekly staffing report due Monday by 1200</v>
      </c>
      <c r="I5" s="47" t="str">
        <f aca="false">IFERROR(INDEX(Patches!E:E,MATCH(C5,Patches!A:A,0)),"—")</f>
        <v>Verbal counseling documented.</v>
      </c>
    </row>
    <row r="6" customFormat="false" ht="23.85" hidden="false" customHeight="false" outlineLevel="0" collapsed="false">
      <c r="A6" s="29" t="s">
        <v>339</v>
      </c>
      <c r="B6" s="30" t="n">
        <v>46079</v>
      </c>
      <c r="C6" s="45" t="s">
        <v>290</v>
      </c>
      <c r="D6" s="45" t="s">
        <v>78</v>
      </c>
      <c r="E6" s="31" t="s">
        <v>340</v>
      </c>
      <c r="F6" s="31" t="s">
        <v>341</v>
      </c>
      <c r="G6" s="31" t="s">
        <v>64</v>
      </c>
      <c r="H6" s="47" t="str">
        <f aca="false">IFERROR(INDEX(Claims!D:D,MATCH(D6,Claims!A:A,0)),"—")</f>
        <v>All personnel hold TS/SCI clearance</v>
      </c>
      <c r="I6" s="47" t="str">
        <f aca="false">IFERROR(INDEX(Patches!E:E,MATCH(C6,Patches!A:A,0)),"—")</f>
        <v>Resolve clearances 10 days or replace.</v>
      </c>
    </row>
    <row r="7" customFormat="false" ht="23.85" hidden="false" customHeight="false" outlineLevel="0" collapsed="false">
      <c r="A7" s="36" t="s">
        <v>342</v>
      </c>
      <c r="B7" s="37" t="n">
        <v>46000</v>
      </c>
      <c r="C7" s="48" t="s">
        <v>293</v>
      </c>
      <c r="D7" s="48" t="s">
        <v>83</v>
      </c>
      <c r="E7" s="38" t="s">
        <v>343</v>
      </c>
      <c r="F7" s="38" t="s">
        <v>344</v>
      </c>
      <c r="G7" s="38" t="s">
        <v>230</v>
      </c>
      <c r="H7" s="47" t="str">
        <f aca="false">IFERROR(INDEX(Claims!D:D,MATCH(D7,Claims!A:A,0)),"—")</f>
        <v>Help desk response within 15 min during business hours</v>
      </c>
      <c r="I7" s="47" t="str">
        <f aca="false">IFERROR(INDEX(Patches!E:E,MATCH(C7,Patches!A:A,0)),"—")</f>
        <v>Cure notice. 10-day cure period.</v>
      </c>
    </row>
    <row r="8" customFormat="false" ht="23.85" hidden="false" customHeight="false" outlineLevel="0" collapsed="false">
      <c r="A8" s="29" t="s">
        <v>345</v>
      </c>
      <c r="B8" s="30" t="n">
        <v>45988</v>
      </c>
      <c r="C8" s="45" t="s">
        <v>296</v>
      </c>
      <c r="D8" s="45" t="s">
        <v>87</v>
      </c>
      <c r="E8" s="31" t="s">
        <v>346</v>
      </c>
      <c r="F8" s="31" t="s">
        <v>347</v>
      </c>
      <c r="G8" s="31" t="s">
        <v>64</v>
      </c>
      <c r="H8" s="47" t="str">
        <f aca="false">IFERROR(INDEX(Claims!D:D,MATCH(D8,Claims!A:A,0)),"—")</f>
        <v>Quarterly program review by 10th of quarter</v>
      </c>
      <c r="I8" s="47" t="str">
        <f aca="false">IFERROR(INDEX(Patches!E:E,MATCH(C8,Patches!A:A,0)),"—")</f>
        <v>COR direction: reformat per template.</v>
      </c>
    </row>
    <row r="9" customFormat="false" ht="23.85" hidden="false" customHeight="false" outlineLevel="0" collapsed="false">
      <c r="A9" s="36" t="s">
        <v>348</v>
      </c>
      <c r="B9" s="37" t="n">
        <v>46021</v>
      </c>
      <c r="C9" s="48" t="s">
        <v>299</v>
      </c>
      <c r="D9" s="48" t="s">
        <v>91</v>
      </c>
      <c r="E9" s="38" t="s">
        <v>349</v>
      </c>
      <c r="F9" s="38" t="s">
        <v>350</v>
      </c>
      <c r="G9" s="38" t="s">
        <v>64</v>
      </c>
      <c r="H9" s="47" t="str">
        <f aca="false">IFERROR(INDEX(Claims!D:D,MATCH(D9,Claims!A:A,0)),"—")</f>
        <v>Code commits include &gt;80% unit test coverage</v>
      </c>
      <c r="I9" s="47" t="str">
        <f aca="false">IFERROR(INDEX(Patches!E:E,MATCH(C9,Patches!A:A,0)),"—")</f>
        <v>Sprint 15 must show &gt;80% or reject.</v>
      </c>
    </row>
    <row r="10" customFormat="false" ht="23.85" hidden="false" customHeight="false" outlineLevel="0" collapsed="false">
      <c r="A10" s="29" t="s">
        <v>351</v>
      </c>
      <c r="B10" s="30" t="n">
        <v>46028</v>
      </c>
      <c r="C10" s="45" t="s">
        <v>302</v>
      </c>
      <c r="D10" s="45" t="s">
        <v>95</v>
      </c>
      <c r="E10" s="31" t="s">
        <v>352</v>
      </c>
      <c r="F10" s="31" t="s">
        <v>353</v>
      </c>
      <c r="G10" s="31" t="s">
        <v>64</v>
      </c>
      <c r="H10" s="47" t="str">
        <f aca="false">IFERROR(INDEX(Claims!D:D,MATCH(D10,Claims!A:A,0)),"—")</f>
        <v>24/7 on-call support for critical systems</v>
      </c>
      <c r="I10" s="47" t="str">
        <f aca="false">IFERROR(INDEX(Patches!E:E,MATCH(C10,Patches!A:A,0)),"—")</f>
        <v>Revise on-call procedures. Roster in 7 days.</v>
      </c>
    </row>
    <row r="11" customFormat="false" ht="23.85" hidden="false" customHeight="false" outlineLevel="0" collapsed="false">
      <c r="A11" s="36" t="s">
        <v>354</v>
      </c>
      <c r="B11" s="37" t="n">
        <v>46069</v>
      </c>
      <c r="C11" s="48" t="s">
        <v>305</v>
      </c>
      <c r="D11" s="48" t="s">
        <v>99</v>
      </c>
      <c r="E11" s="38" t="s">
        <v>355</v>
      </c>
      <c r="F11" s="38" t="s">
        <v>356</v>
      </c>
      <c r="G11" s="38" t="s">
        <v>230</v>
      </c>
      <c r="H11" s="47" t="str">
        <f aca="false">IFERROR(INDEX(Claims!D:D,MATCH(D11,Claims!A:A,0)),"—")</f>
        <v>Nightly backup with weekly verification log</v>
      </c>
      <c r="I11" s="47" t="str">
        <f aca="false">IFERROR(INDEX(Patches!E:E,MATCH(C11,Patches!A:A,0)),"—")</f>
        <v>Implement automated backup verify. Daily 30 days.</v>
      </c>
    </row>
  </sheetData>
  <dataValidations count="2">
    <dataValidation allowBlank="true" errorStyle="stop" operator="between" showDropDown="false" showErrorMessage="false" showInputMessage="false" sqref="D2:D1000" type="list">
      <formula1>tblClaims[claimid]</formula1>
      <formula2>0</formula2>
    </dataValidation>
    <dataValidation allowBlank="true" errorStyle="stop" operator="between" showDropDown="false" showErrorMessage="false" showInputMessage="false" sqref="C2:C1000" type="list">
      <formula1>tblPatches[patchid]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66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5"/>
    <col collapsed="false" customWidth="true" hidden="false" outlineLevel="0" max="9" min="9" style="0" width="40"/>
  </cols>
  <sheetData>
    <row r="1" customFormat="false" ht="26.85" hidden="false" customHeight="false" outlineLevel="0" collapsed="false">
      <c r="A1" s="63" t="s">
        <v>357</v>
      </c>
      <c r="B1" s="63" t="s">
        <v>358</v>
      </c>
      <c r="C1" s="63" t="s">
        <v>359</v>
      </c>
      <c r="D1" s="63" t="s">
        <v>360</v>
      </c>
      <c r="E1" s="63" t="s">
        <v>361</v>
      </c>
      <c r="F1" s="63" t="s">
        <v>362</v>
      </c>
      <c r="G1" s="63" t="s">
        <v>363</v>
      </c>
      <c r="H1" s="63" t="s">
        <v>364</v>
      </c>
      <c r="I1" s="63" t="s">
        <v>365</v>
      </c>
    </row>
    <row r="2" customFormat="false" ht="15" hidden="false" customHeight="false" outlineLevel="0" collapsed="false">
      <c r="A2" s="64" t="n">
        <v>1</v>
      </c>
      <c r="B2" s="57" t="s">
        <v>366</v>
      </c>
      <c r="C2" s="31" t="s">
        <v>367</v>
      </c>
      <c r="D2" s="31" t="s">
        <v>2</v>
      </c>
      <c r="E2" s="45" t="s">
        <v>68</v>
      </c>
      <c r="F2" s="31" t="s">
        <v>51</v>
      </c>
      <c r="G2" s="31" t="s">
        <v>23</v>
      </c>
      <c r="H2" s="31" t="s">
        <v>26</v>
      </c>
      <c r="I2" s="31" t="s">
        <v>368</v>
      </c>
    </row>
    <row r="3" customFormat="false" ht="15" hidden="false" customHeight="false" outlineLevel="0" collapsed="false">
      <c r="A3" s="65" t="n">
        <v>2</v>
      </c>
      <c r="B3" s="55" t="s">
        <v>369</v>
      </c>
      <c r="C3" s="38" t="s">
        <v>367</v>
      </c>
      <c r="D3" s="38" t="s">
        <v>3</v>
      </c>
      <c r="E3" s="48" t="s">
        <v>72</v>
      </c>
      <c r="F3" s="38" t="s">
        <v>167</v>
      </c>
      <c r="G3" s="38" t="s">
        <v>172</v>
      </c>
      <c r="H3" s="38" t="s">
        <v>175</v>
      </c>
      <c r="I3" s="38" t="s">
        <v>370</v>
      </c>
    </row>
    <row r="4" customFormat="false" ht="23.85" hidden="false" customHeight="false" outlineLevel="0" collapsed="false">
      <c r="A4" s="64" t="n">
        <v>3</v>
      </c>
      <c r="B4" s="57" t="s">
        <v>371</v>
      </c>
      <c r="C4" s="31" t="s">
        <v>372</v>
      </c>
      <c r="D4" s="31" t="s">
        <v>4</v>
      </c>
      <c r="E4" s="45" t="s">
        <v>233</v>
      </c>
      <c r="F4" s="31" t="s">
        <v>225</v>
      </c>
      <c r="G4" s="31" t="s">
        <v>17</v>
      </c>
      <c r="H4" s="31" t="s">
        <v>14</v>
      </c>
      <c r="I4" s="31" t="s">
        <v>373</v>
      </c>
    </row>
    <row r="5" customFormat="false" ht="15" hidden="false" customHeight="false" outlineLevel="0" collapsed="false">
      <c r="A5" s="65" t="n">
        <v>4</v>
      </c>
      <c r="B5" s="55" t="s">
        <v>374</v>
      </c>
      <c r="C5" s="38" t="s">
        <v>375</v>
      </c>
      <c r="D5" s="38" t="s">
        <v>5</v>
      </c>
      <c r="E5" s="48" t="s">
        <v>282</v>
      </c>
      <c r="F5" s="38" t="s">
        <v>51</v>
      </c>
      <c r="G5" s="38" t="s">
        <v>281</v>
      </c>
      <c r="H5" s="38" t="s">
        <v>286</v>
      </c>
      <c r="I5" s="38" t="s">
        <v>376</v>
      </c>
    </row>
    <row r="6" customFormat="false" ht="15" hidden="false" customHeight="false" outlineLevel="0" collapsed="false">
      <c r="A6" s="64" t="n">
        <v>5</v>
      </c>
      <c r="B6" s="57" t="s">
        <v>377</v>
      </c>
      <c r="C6" s="31" t="s">
        <v>378</v>
      </c>
      <c r="D6" s="31" t="s">
        <v>5</v>
      </c>
      <c r="E6" s="45" t="s">
        <v>282</v>
      </c>
      <c r="F6" s="31" t="s">
        <v>51</v>
      </c>
      <c r="G6" s="31" t="s">
        <v>286</v>
      </c>
      <c r="H6" s="31" t="s">
        <v>6</v>
      </c>
      <c r="I6" s="31" t="s">
        <v>379</v>
      </c>
    </row>
    <row r="7" customFormat="false" ht="15" hidden="false" customHeight="false" outlineLevel="0" collapsed="false">
      <c r="A7" s="65" t="n">
        <v>6</v>
      </c>
      <c r="B7" s="55" t="s">
        <v>380</v>
      </c>
      <c r="C7" s="38" t="s">
        <v>367</v>
      </c>
      <c r="D7" s="38" t="s">
        <v>2</v>
      </c>
      <c r="E7" s="48" t="s">
        <v>68</v>
      </c>
      <c r="F7" s="38" t="s">
        <v>51</v>
      </c>
      <c r="G7" s="38" t="s">
        <v>26</v>
      </c>
      <c r="H7" s="38" t="s">
        <v>29</v>
      </c>
      <c r="I7" s="38" t="s">
        <v>381</v>
      </c>
    </row>
    <row r="8" customFormat="false" ht="23.85" hidden="false" customHeight="false" outlineLevel="0" collapsed="false">
      <c r="A8" s="64" t="n">
        <v>7</v>
      </c>
      <c r="B8" s="57" t="s">
        <v>382</v>
      </c>
      <c r="C8" s="31" t="s">
        <v>383</v>
      </c>
      <c r="D8" s="31" t="s">
        <v>2</v>
      </c>
      <c r="E8" s="45" t="s">
        <v>132</v>
      </c>
      <c r="F8" s="31" t="s">
        <v>51</v>
      </c>
      <c r="G8" s="31" t="s">
        <v>23</v>
      </c>
      <c r="H8" s="31" t="s">
        <v>26</v>
      </c>
      <c r="I8" s="31" t="s">
        <v>384</v>
      </c>
    </row>
    <row r="9" customFormat="false" ht="15" hidden="false" customHeight="false" outlineLevel="0" collapsed="false">
      <c r="A9" s="65" t="n">
        <v>8</v>
      </c>
      <c r="B9" s="55" t="s">
        <v>385</v>
      </c>
      <c r="C9" s="38" t="s">
        <v>386</v>
      </c>
      <c r="D9" s="38" t="s">
        <v>4</v>
      </c>
      <c r="E9" s="48" t="s">
        <v>266</v>
      </c>
      <c r="F9" s="38" t="s">
        <v>224</v>
      </c>
      <c r="G9" s="38" t="s">
        <v>172</v>
      </c>
      <c r="H9" s="38" t="s">
        <v>175</v>
      </c>
      <c r="I9" s="38" t="s">
        <v>387</v>
      </c>
    </row>
    <row r="10" customFormat="false" ht="15" hidden="false" customHeight="false" outlineLevel="0" collapsed="false">
      <c r="A10" s="64" t="n">
        <v>9</v>
      </c>
      <c r="B10" s="57" t="s">
        <v>388</v>
      </c>
      <c r="C10" s="31" t="s">
        <v>383</v>
      </c>
      <c r="D10" s="31" t="s">
        <v>5</v>
      </c>
      <c r="E10" s="45" t="s">
        <v>320</v>
      </c>
      <c r="F10" s="31" t="s">
        <v>271</v>
      </c>
      <c r="G10" s="31" t="s">
        <v>389</v>
      </c>
      <c r="H10" s="31" t="s">
        <v>390</v>
      </c>
      <c r="I10" s="31" t="s">
        <v>391</v>
      </c>
    </row>
    <row r="11" customFormat="false" ht="15" hidden="false" customHeight="false" outlineLevel="0" collapsed="false">
      <c r="A11" s="65" t="n">
        <v>10</v>
      </c>
      <c r="B11" s="55" t="s">
        <v>392</v>
      </c>
      <c r="C11" s="38" t="s">
        <v>367</v>
      </c>
      <c r="D11" s="38" t="s">
        <v>3</v>
      </c>
      <c r="E11" s="48" t="s">
        <v>137</v>
      </c>
      <c r="F11" s="38" t="s">
        <v>166</v>
      </c>
      <c r="G11" s="38" t="s">
        <v>389</v>
      </c>
      <c r="H11" s="38" t="s">
        <v>393</v>
      </c>
      <c r="I11" s="38" t="s">
        <v>394</v>
      </c>
    </row>
    <row r="12" customFormat="false" ht="15" hidden="false" customHeight="false" outlineLevel="0" collapsed="false">
      <c r="A12" s="64" t="n">
        <v>11</v>
      </c>
      <c r="B12" s="57" t="s">
        <v>395</v>
      </c>
      <c r="C12" s="31" t="s">
        <v>378</v>
      </c>
      <c r="D12" s="31" t="s">
        <v>2</v>
      </c>
      <c r="E12" s="45" t="s">
        <v>58</v>
      </c>
      <c r="F12" s="31" t="s">
        <v>51</v>
      </c>
      <c r="G12" s="31" t="s">
        <v>23</v>
      </c>
      <c r="H12" s="31" t="s">
        <v>29</v>
      </c>
      <c r="I12" s="31" t="s">
        <v>396</v>
      </c>
    </row>
    <row r="13" customFormat="false" ht="23.85" hidden="false" customHeight="false" outlineLevel="0" collapsed="false">
      <c r="A13" s="65" t="n">
        <v>12</v>
      </c>
      <c r="B13" s="55" t="s">
        <v>397</v>
      </c>
      <c r="C13" s="38" t="s">
        <v>398</v>
      </c>
      <c r="D13" s="38" t="s">
        <v>2</v>
      </c>
      <c r="E13" s="48" t="s">
        <v>91</v>
      </c>
      <c r="F13" s="38" t="s">
        <v>51</v>
      </c>
      <c r="G13" s="38" t="s">
        <v>23</v>
      </c>
      <c r="H13" s="38" t="s">
        <v>26</v>
      </c>
      <c r="I13" s="38" t="s">
        <v>399</v>
      </c>
    </row>
    <row r="14" customFormat="false" ht="23.85" hidden="false" customHeight="false" outlineLevel="0" collapsed="false">
      <c r="A14" s="64" t="n">
        <v>13</v>
      </c>
      <c r="B14" s="57" t="s">
        <v>400</v>
      </c>
      <c r="C14" s="31" t="s">
        <v>372</v>
      </c>
      <c r="D14" s="31" t="s">
        <v>4</v>
      </c>
      <c r="E14" s="45" t="s">
        <v>244</v>
      </c>
      <c r="F14" s="31" t="s">
        <v>225</v>
      </c>
      <c r="G14" s="31" t="s">
        <v>18</v>
      </c>
      <c r="H14" s="31" t="s">
        <v>17</v>
      </c>
      <c r="I14" s="31" t="s">
        <v>401</v>
      </c>
    </row>
    <row r="15" customFormat="false" ht="15" hidden="false" customHeight="false" outlineLevel="0" collapsed="false">
      <c r="A15" s="65" t="n">
        <v>14</v>
      </c>
      <c r="B15" s="55" t="s">
        <v>402</v>
      </c>
      <c r="C15" s="38" t="s">
        <v>375</v>
      </c>
      <c r="D15" s="38" t="s">
        <v>5</v>
      </c>
      <c r="E15" s="48" t="s">
        <v>299</v>
      </c>
      <c r="F15" s="38" t="s">
        <v>51</v>
      </c>
      <c r="G15" s="38" t="s">
        <v>281</v>
      </c>
      <c r="H15" s="38" t="s">
        <v>286</v>
      </c>
      <c r="I15" s="38" t="s">
        <v>403</v>
      </c>
    </row>
    <row r="16" customFormat="false" ht="15" hidden="false" customHeight="false" outlineLevel="0" collapsed="false">
      <c r="A16" s="64" t="n">
        <v>15</v>
      </c>
      <c r="B16" s="57" t="s">
        <v>404</v>
      </c>
      <c r="C16" s="31" t="s">
        <v>367</v>
      </c>
      <c r="D16" s="31" t="s">
        <v>405</v>
      </c>
      <c r="E16" s="45" t="s">
        <v>348</v>
      </c>
      <c r="F16" s="31" t="s">
        <v>324</v>
      </c>
      <c r="G16" s="31" t="s">
        <v>389</v>
      </c>
      <c r="H16" s="31" t="s">
        <v>406</v>
      </c>
      <c r="I16" s="31" t="s">
        <v>407</v>
      </c>
    </row>
    <row r="18" customFormat="false" ht="15" hidden="false" customHeight="false" outlineLevel="0" collapsed="false">
      <c r="A18" s="66" t="s">
        <v>408</v>
      </c>
      <c r="B18" s="66"/>
      <c r="C18" s="66"/>
      <c r="D18" s="66"/>
      <c r="E18" s="66"/>
      <c r="F18" s="66"/>
      <c r="G18" s="66"/>
      <c r="H18" s="66"/>
      <c r="I18" s="66"/>
    </row>
    <row r="19" customFormat="false" ht="15" hidden="false" customHeight="false" outlineLevel="0" collapsed="false">
      <c r="A19" s="67" t="s">
        <v>409</v>
      </c>
      <c r="B19" s="67"/>
      <c r="C19" s="67"/>
      <c r="D19" s="67"/>
      <c r="E19" s="67"/>
      <c r="F19" s="67"/>
      <c r="G19" s="67"/>
      <c r="H19" s="67"/>
      <c r="I19" s="67"/>
    </row>
    <row r="20" customFormat="false" ht="15" hidden="false" customHeight="false" outlineLevel="0" collapsed="false">
      <c r="A20" s="67" t="s">
        <v>410</v>
      </c>
      <c r="B20" s="67"/>
      <c r="C20" s="67"/>
      <c r="D20" s="67"/>
      <c r="E20" s="67"/>
      <c r="F20" s="67"/>
      <c r="G20" s="67"/>
      <c r="H20" s="67"/>
      <c r="I20" s="67"/>
    </row>
    <row r="21" customFormat="false" ht="15" hidden="false" customHeight="false" outlineLevel="0" collapsed="false">
      <c r="A21" s="67" t="s">
        <v>411</v>
      </c>
      <c r="B21" s="67"/>
      <c r="C21" s="67"/>
      <c r="D21" s="67"/>
      <c r="E21" s="67"/>
      <c r="F21" s="67"/>
      <c r="G21" s="67"/>
      <c r="H21" s="67"/>
      <c r="I21" s="67"/>
    </row>
    <row r="22" customFormat="false" ht="15" hidden="false" customHeight="false" outlineLevel="0" collapsed="false">
      <c r="A22" s="67" t="s">
        <v>412</v>
      </c>
      <c r="B22" s="67"/>
      <c r="C22" s="67"/>
      <c r="D22" s="67"/>
      <c r="E22" s="67"/>
      <c r="F22" s="67"/>
      <c r="G22" s="67"/>
      <c r="H22" s="67"/>
      <c r="I22" s="67"/>
    </row>
    <row r="23" customFormat="false" ht="15" hidden="false" customHeight="false" outlineLevel="0" collapsed="false">
      <c r="A23" s="67" t="s">
        <v>413</v>
      </c>
      <c r="B23" s="67"/>
      <c r="C23" s="67"/>
      <c r="D23" s="67"/>
      <c r="E23" s="67"/>
      <c r="F23" s="67"/>
      <c r="G23" s="67"/>
      <c r="H23" s="67"/>
      <c r="I23" s="67"/>
    </row>
    <row r="24" customFormat="false" ht="15" hidden="false" customHeight="false" outlineLevel="0" collapsed="false">
      <c r="A24" s="67" t="s">
        <v>414</v>
      </c>
      <c r="B24" s="67"/>
      <c r="C24" s="67"/>
      <c r="D24" s="67"/>
      <c r="E24" s="67"/>
      <c r="F24" s="67"/>
      <c r="G24" s="67"/>
      <c r="H24" s="67"/>
      <c r="I24" s="67"/>
    </row>
    <row r="25" customFormat="false" ht="15" hidden="false" customHeight="false" outlineLevel="0" collapsed="false">
      <c r="A25" s="67" t="s">
        <v>415</v>
      </c>
      <c r="B25" s="67"/>
      <c r="C25" s="67"/>
      <c r="D25" s="67"/>
      <c r="E25" s="67"/>
      <c r="F25" s="67"/>
      <c r="G25" s="67"/>
      <c r="H25" s="67"/>
      <c r="I25" s="67"/>
    </row>
  </sheetData>
  <mergeCells count="8">
    <mergeCell ref="A18:I18"/>
    <mergeCell ref="A19:I19"/>
    <mergeCell ref="A20:I20"/>
    <mergeCell ref="A21:I21"/>
    <mergeCell ref="A22:I22"/>
    <mergeCell ref="A23:I23"/>
    <mergeCell ref="A24:I24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588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4"/>
  </cols>
  <sheetData>
    <row r="1" customFormat="false" ht="16.15" hidden="false" customHeight="true" outlineLevel="0" collapsed="false">
      <c r="A1" s="68" t="s">
        <v>416</v>
      </c>
      <c r="B1" s="68"/>
      <c r="C1" s="68"/>
      <c r="D1" s="68"/>
      <c r="E1" s="68"/>
      <c r="F1" s="68"/>
      <c r="G1" s="68"/>
      <c r="H1" s="68"/>
      <c r="I1" s="68"/>
    </row>
    <row r="2" customFormat="false" ht="15" hidden="false" customHeight="false" outlineLevel="0" collapsed="false">
      <c r="A2" s="10" t="s">
        <v>417</v>
      </c>
      <c r="B2" s="69" t="n">
        <f aca="true">TODAY()</f>
        <v>46093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418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0" t="s">
        <v>419</v>
      </c>
      <c r="B5" s="70" t="n">
        <f aca="false">COUNTA(tblClaims[ClaimID])</f>
        <v>30</v>
      </c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10" t="s">
        <v>420</v>
      </c>
      <c r="B6" s="70" t="n">
        <f aca="false">COUNTA(tblEvents[EventID])</f>
        <v>25</v>
      </c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10" t="s">
        <v>421</v>
      </c>
      <c r="B7" s="70" t="n">
        <f aca="false">COUNTA(tblReviews[ReviewID])</f>
        <v>20</v>
      </c>
      <c r="C7" s="2"/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10" t="s">
        <v>422</v>
      </c>
      <c r="B8" s="70" t="n">
        <f aca="false">COUNTA(tblPatches[PatchID])</f>
        <v>15</v>
      </c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10" t="s">
        <v>423</v>
      </c>
      <c r="B9" s="70" t="n">
        <f aca="false">COUNTA(tblApply[ApplyID])</f>
        <v>10</v>
      </c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71" t="s">
        <v>424</v>
      </c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10" t="s">
        <v>425</v>
      </c>
      <c r="B12" s="72" t="n">
        <f aca="false">COUNTIF(tblClaims[Status],"&lt;&gt;Closed")</f>
        <v>26</v>
      </c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10" t="s">
        <v>426</v>
      </c>
      <c r="B13" s="73" t="n">
        <f aca="false">COUNTIFS(tblClaims[Status],"&lt;&gt;Closed",tblClaims[DaysOpen],"&gt;"&amp;30)</f>
        <v>26</v>
      </c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10" t="s">
        <v>427</v>
      </c>
      <c r="B14" s="73" t="n">
        <f aca="false">COUNTIF(tblReviews[DriftDetected],"Y")</f>
        <v>11</v>
      </c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10" t="s">
        <v>428</v>
      </c>
      <c r="B15" s="73" t="n">
        <f aca="false">COUNTIF(tblPatches[Status],"Pending")</f>
        <v>4</v>
      </c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10" t="s">
        <v>429</v>
      </c>
      <c r="B16" s="73" t="n">
        <f aca="false">COUNTIFS(tblPatches[Status],"Pending",tblPatches[Date],"&lt;"&amp;TODAY()-14)</f>
        <v>4</v>
      </c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10" t="s">
        <v>430</v>
      </c>
      <c r="B17" s="72" t="n">
        <f aca="false">COUNTIF(tblEvents[Deviation],"Y")</f>
        <v>17</v>
      </c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18" t="s">
        <v>431</v>
      </c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74" t="s">
        <v>46</v>
      </c>
      <c r="B20" s="75" t="s">
        <v>432</v>
      </c>
      <c r="C20" s="74" t="s">
        <v>49</v>
      </c>
      <c r="D20" s="75" t="s">
        <v>51</v>
      </c>
      <c r="E20" s="75" t="s">
        <v>433</v>
      </c>
      <c r="F20" s="2"/>
      <c r="G20" s="2"/>
      <c r="H20" s="2"/>
      <c r="I20" s="2"/>
    </row>
    <row r="21" customFormat="false" ht="15" hidden="false" customHeight="false" outlineLevel="0" collapsed="false">
      <c r="A21" s="76" t="str">
        <f aca="false">IFERROR(INDEX(Claims!A:A,MATCH(LARGE(Claims!L$2:L$31,1),Claims!L:L,0)),"—")</f>
        <v>CLM-011</v>
      </c>
      <c r="B21" s="77" t="n">
        <f aca="false">IFERROR(LARGE(Claims!L$2:L$31,1),"—")</f>
        <v>76</v>
      </c>
      <c r="C21" s="78" t="str">
        <f aca="false">IFERROR(INDEX(Claims!D:D,MATCH(A21,Claims!A:A,0)),"—")</f>
        <v>Network monitoring dashboard real-time 5-min refresh</v>
      </c>
      <c r="D21" s="79" t="str">
        <f aca="false">IFERROR(INDEX(Claims!F:F,MATCH(A21,Claims!A:A,0)),"—")</f>
        <v>Open</v>
      </c>
      <c r="E21" s="80" t="n">
        <f aca="false">IFERROR(INDEX(Claims!I:I,MATCH(A21,Claims!A:A,0)),"—")</f>
        <v>1</v>
      </c>
      <c r="F21" s="2"/>
      <c r="G21" s="2"/>
      <c r="H21" s="2"/>
      <c r="I21" s="2"/>
    </row>
    <row r="22" customFormat="false" ht="15" hidden="false" customHeight="false" outlineLevel="0" collapsed="false">
      <c r="A22" s="76" t="str">
        <f aca="false">IFERROR(INDEX(Claims!A:A,MATCH(LARGE(Claims!L$2:L$31,2),Claims!L:L,0)),"—")</f>
        <v>CLM-018</v>
      </c>
      <c r="B22" s="77" t="n">
        <f aca="false">IFERROR(LARGE(Claims!L$2:L$31,2),"—")</f>
        <v>70</v>
      </c>
      <c r="C22" s="78" t="str">
        <f aca="false">IFERROR(INDEX(Claims!D:D,MATCH(A22,Claims!A:A,0)),"—")</f>
        <v>Critical CVE patches within 72 hours</v>
      </c>
      <c r="D22" s="79" t="str">
        <f aca="false">IFERROR(INDEX(Claims!F:F,MATCH(A22,Claims!A:A,0)),"—")</f>
        <v>Open</v>
      </c>
      <c r="E22" s="80" t="n">
        <f aca="false">IFERROR(INDEX(Claims!I:I,MATCH(A22,Claims!A:A,0)),"—")</f>
        <v>0</v>
      </c>
      <c r="F22" s="2"/>
      <c r="G22" s="2"/>
      <c r="H22" s="2"/>
      <c r="I22" s="2"/>
    </row>
    <row r="23" customFormat="false" ht="15" hidden="false" customHeight="false" outlineLevel="0" collapsed="false">
      <c r="A23" s="76" t="str">
        <f aca="false">IFERROR(INDEX(Claims!A:A,MATCH(LARGE(Claims!L$2:L$31,3),Claims!L:L,0)),"—")</f>
        <v>CLM-012</v>
      </c>
      <c r="B23" s="77" t="n">
        <f aca="false">IFERROR(LARGE(Claims!L$2:L$31,3),"—")</f>
        <v>69.8</v>
      </c>
      <c r="C23" s="78" t="str">
        <f aca="false">IFERROR(INDEX(Claims!D:D,MATCH(A23,Claims!A:A,0)),"—")</f>
        <v>Incident response within 30 min of detection</v>
      </c>
      <c r="D23" s="79" t="str">
        <f aca="false">IFERROR(INDEX(Claims!F:F,MATCH(A23,Claims!A:A,0)),"—")</f>
        <v>Patched</v>
      </c>
      <c r="E23" s="80" t="n">
        <f aca="false">IFERROR(INDEX(Claims!I:I,MATCH(A23,Claims!A:A,0)),"—")</f>
        <v>1</v>
      </c>
      <c r="F23" s="2"/>
      <c r="G23" s="2"/>
      <c r="H23" s="2"/>
      <c r="I23" s="2"/>
    </row>
    <row r="24" customFormat="false" ht="15" hidden="false" customHeight="false" outlineLevel="0" collapsed="false">
      <c r="A24" s="76" t="str">
        <f aca="false">IFERROR(INDEX(Claims!A:A,MATCH(LARGE(Claims!L$2:L$31,4),Claims!L:L,0)),"—")</f>
        <v>CLM-020</v>
      </c>
      <c r="B24" s="77" t="n">
        <f aca="false">IFERROR(LARGE(Claims!L$2:L$31,4),"—")</f>
        <v>63.8</v>
      </c>
      <c r="C24" s="78" t="str">
        <f aca="false">IFERROR(INDEX(Claims!D:D,MATCH(A24,Claims!A:A,0)),"—")</f>
        <v>Monthly financial report with burn-rate by 10th</v>
      </c>
      <c r="D24" s="79" t="str">
        <f aca="false">IFERROR(INDEX(Claims!F:F,MATCH(A24,Claims!A:A,0)),"—")</f>
        <v>Open</v>
      </c>
      <c r="E24" s="80" t="n">
        <f aca="false">IFERROR(INDEX(Claims!I:I,MATCH(A24,Claims!A:A,0)),"—")</f>
        <v>0</v>
      </c>
      <c r="F24" s="2"/>
      <c r="G24" s="2"/>
      <c r="H24" s="2"/>
      <c r="I24" s="2"/>
    </row>
    <row r="25" customFormat="false" ht="15" hidden="false" customHeight="false" outlineLevel="0" collapsed="false">
      <c r="A25" s="76" t="str">
        <f aca="false">IFERROR(INDEX(Claims!A:A,MATCH(LARGE(Claims!L$2:L$31,5),Claims!L:L,0)),"—")</f>
        <v>CLM-008</v>
      </c>
      <c r="B25" s="77" t="n">
        <f aca="false">IFERROR(LARGE(Claims!L$2:L$31,5),"—")</f>
        <v>63.5</v>
      </c>
      <c r="C25" s="78" t="str">
        <f aca="false">IFERROR(INDEX(Claims!D:D,MATCH(A25,Claims!A:A,0)),"—")</f>
        <v>Code commits include &gt;80% unit test coverage</v>
      </c>
      <c r="D25" s="79" t="str">
        <f aca="false">IFERROR(INDEX(Claims!F:F,MATCH(A25,Claims!A:A,0)),"—")</f>
        <v>Patched</v>
      </c>
      <c r="E25" s="80" t="n">
        <f aca="false">IFERROR(INDEX(Claims!I:I,MATCH(A25,Claims!A:A,0)),"—")</f>
        <v>1</v>
      </c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81" t="s">
        <v>434</v>
      </c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10" t="s">
        <v>435</v>
      </c>
      <c r="B28" s="82" t="n">
        <f aca="false">IF(COUNTA(tblClaims[ClaimID])&gt;0,COUNTA(tblEvents[EventID])/COUNTA(tblClaims[ClaimID]),0)</f>
        <v>0.833333333333333</v>
      </c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10" t="s">
        <v>436</v>
      </c>
      <c r="B29" s="83" t="n">
        <f aca="false">IF(COUNTA(tblEvents[EventID])&gt;0,COUNTA(tblReviews[ReviewID])/COUNTA(tblEvents[EventID]),0)</f>
        <v>0.8</v>
      </c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10" t="s">
        <v>437</v>
      </c>
      <c r="B30" s="84" t="n">
        <f aca="false">IF(COUNTIF(tblReviews[DriftDetected],"Y")&gt;0,COUNTA(tblPatches[PatchID])/COUNTIF(tblReviews[DriftDetected],"Y"),0)</f>
        <v>1.36363636363636</v>
      </c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10" t="s">
        <v>438</v>
      </c>
      <c r="B31" s="85" t="n">
        <f aca="false">IF(COUNTA(tblClaims[ClaimID])&gt;0,COUNTA(tblApply[ApplyID])/COUNTA(tblClaims[ClaimID]),0)</f>
        <v>0.333333333333333</v>
      </c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10" t="s">
        <v>439</v>
      </c>
      <c r="B32" s="86" t="n">
        <f aca="false">IF(COUNTA(tblReviews[ReviewID])&gt;0,COUNTIF(tblReviews[DriftDetected],"Y")/COUNTA(tblReviews[ReviewID]),0)</f>
        <v>0.55</v>
      </c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10" t="s">
        <v>440</v>
      </c>
      <c r="B33" s="87" t="n">
        <f aca="false">IFERROR(AVERAGEIF(tblClaims[Status],"&lt;&gt;Closed",tblClaims[DaysOpen]),"—")</f>
        <v>155.153846153846</v>
      </c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10" t="s">
        <v>441</v>
      </c>
      <c r="B34" s="77" t="n">
        <f aca="false">IFERROR(AVERAGEIF(tblClaims[Status],"&lt;&gt;Closed",tblClaims[RiskScore]),"—")</f>
        <v>51.7538461538462</v>
      </c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88" t="s">
        <v>442</v>
      </c>
      <c r="B36" s="88"/>
      <c r="C36" s="88"/>
      <c r="D36" s="88"/>
      <c r="E36" s="88"/>
      <c r="F36" s="88"/>
      <c r="G36" s="88"/>
      <c r="H36" s="88"/>
      <c r="I36" s="88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</sheetData>
  <mergeCells count="2">
    <mergeCell ref="A1:I1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2026-03-12T02:22:09Z</dcterms:created>
  <dc:creator>openpyxl</dc:creator>
  <dc:description/>
  <dc:language>en-US</dc:language>
  <cp:lastModifiedBy/>
  <dcterms:modified xsi:type="dcterms:W3CDTF">2026-03-12T02:22:10Z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