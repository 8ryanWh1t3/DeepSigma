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83de7abde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0a4d51d0bbc40cf"/>
    <x:sheet xmlns:r="http://schemas.openxmlformats.org/officeDocument/2006/relationships" name="Matrix" sheetId="2" r:id="R8f52e27231df43d8"/>
    <x:sheet xmlns:r="http://schemas.openxmlformats.org/officeDocument/2006/relationships" name="Pairs" sheetId="3" r:id="R96cefad84b0740bb"/>
    <x:sheet xmlns:r="http://schemas.openxmlformats.org/officeDocument/2006/relationships" name="Checks" sheetId="4" r:id="R132fb7e82c1a4e55"/>
    <x:sheet xmlns:r="http://schemas.openxmlformats.org/officeDocument/2006/relationships" name="Representations" sheetId="5" r:id="R3a1181e62ef649a6"/>
    <x:sheet xmlns:r="http://schemas.openxmlformats.org/officeDocument/2006/relationships" name="Support" sheetId="6" r:id="R02c76c895c804e5e"/>
    <x:sheet xmlns:r="http://schemas.openxmlformats.org/officeDocument/2006/relationships" name="Sources" sheetId="7" r:id="Rd57489f5601c4b67"/>
    <x:sheet xmlns:r="http://schemas.openxmlformats.org/officeDocument/2006/relationships" name="Extraction" sheetId="8" r:id="R29b27c62a9f04b51"/>
    <x:sheet xmlns:r="http://schemas.openxmlformats.org/officeDocument/2006/relationships" name="Findings" sheetId="9" r:id="Rc405fa6d8bf3407f"/>
    <x:sheet xmlns:r="http://schemas.openxmlformats.org/officeDocument/2006/relationships" name="Pipeline" sheetId="10" r:id="R2cfa79c59cf04d85"/>
    <x:sheet xmlns:r="http://schemas.openxmlformats.org/officeDocument/2006/relationships" name="Pair Proposals" sheetId="11" r:id="R39cb7d15980a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A5C7D0"/>
      <x:name val="Carlito"/>
    </x:font>
    <x:font>
      <x:sz val="11"/>
      <x:color rgb="FFA5C7D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32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67225bb0c4c7c" /><Relationship Type="http://schemas.openxmlformats.org/officeDocument/2006/relationships/theme" Target="/xl/theme/theme1.xml" Id="R592a8d071f8845b7" /><Relationship Type="http://schemas.microsoft.com/office/2022/11/relationships/FeaturePropertyBag" Target="/xl/featurePropertyBag/featurePropertyBag.xml" Id="Rfe4d03fbf02e469b" /><Relationship Type="http://schemas.openxmlformats.org/officeDocument/2006/relationships/sharedStrings" Target="/xl/sharedStrings.xml" Id="R35555191fa2143fe" /><Relationship Type="http://schemas.openxmlformats.org/officeDocument/2006/relationships/worksheet" Target="/xl/worksheets/sheet1.xml" Id="Rc0a4d51d0bbc40cf" /><Relationship Type="http://schemas.openxmlformats.org/officeDocument/2006/relationships/worksheet" Target="/xl/worksheets/sheet2.xml" Id="R8f52e27231df43d8" /><Relationship Type="http://schemas.openxmlformats.org/officeDocument/2006/relationships/worksheet" Target="/xl/worksheets/sheet3.xml" Id="R96cefad84b0740bb" /><Relationship Type="http://schemas.openxmlformats.org/officeDocument/2006/relationships/worksheet" Target="/xl/worksheets/sheet4.xml" Id="R132fb7e82c1a4e55" /><Relationship Type="http://schemas.openxmlformats.org/officeDocument/2006/relationships/worksheet" Target="/xl/worksheets/sheet5.xml" Id="R3a1181e62ef649a6" /><Relationship Type="http://schemas.openxmlformats.org/officeDocument/2006/relationships/worksheet" Target="/xl/worksheets/sheet6.xml" Id="R02c76c895c804e5e" /><Relationship Type="http://schemas.openxmlformats.org/officeDocument/2006/relationships/worksheet" Target="/xl/worksheets/sheet7.xml" Id="Rd57489f5601c4b67" /><Relationship Type="http://schemas.openxmlformats.org/officeDocument/2006/relationships/worksheet" Target="/xl/worksheets/sheet8.xml" Id="R29b27c62a9f04b51" /><Relationship Type="http://schemas.openxmlformats.org/officeDocument/2006/relationships/worksheet" Target="/xl/worksheets/sheet9.xml" Id="Rc405fa6d8bf3407f" /><Relationship Type="http://schemas.openxmlformats.org/officeDocument/2006/relationships/worksheet" Target="/xl/worksheets/sheet10.xml" Id="R2cfa79c59cf04d85" /><Relationship Type="http://schemas.openxmlformats.org/officeDocument/2006/relationships/worksheet" Target="/xl/worksheets/sheet11.xml" Id="R39cb7d15980a44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2" t="str">
        <x:v>VINCULUM 0.7.0 | INPUT &gt; RUNTIME &gt; OUTPUT</x:v>
      </x:c>
      <x:c r="B1" s="22"/>
      <x:c r="C1" s="22"/>
      <x:c r="D1" s="22"/>
      <x:c r="E1" s="22"/>
      <x:c r="F1" s="22"/>
    </x:row>
    <x:row r="2">
      <x:c r="A2" s="23" t="str">
        <x:v>Scores describe selected representations, not truth, risk or permission.</x:v>
      </x:c>
      <x:c r="B2" s="23"/>
      <x:c r="C2" s="23"/>
      <x:c r="D2" s="23"/>
      <x:c r="E2" s="23"/>
      <x:c r="F2" s="23"/>
    </x:row>
    <x:row r="4">
      <x:c r="A4" t="str">
        <x:v>Measure</x:v>
      </x:c>
      <x:c r="B4" t="str">
        <x:v>Value</x:v>
      </x:c>
    </x:row>
    <x:row r="5">
      <x:c r="A5" t="str">
        <x:v>Selected pairs</x:v>
      </x:c>
      <x:c r="B5" t="n">
        <x:f>COUNTA(Pairs!A2:A10)</x:f>
        <x:v>9</x:v>
      </x:c>
    </x:row>
    <x:row r="6">
      <x:c r="A6" t="str">
        <x:v>Conflicts</x:v>
      </x:c>
      <x:c r="B6" t="n">
        <x:f>COUNTIF(Pairs!F2:F10,"CONFLICT")</x:f>
        <x:v>4</x:v>
      </x:c>
    </x:row>
    <x:row r="7">
      <x:c r="A7" t="str">
        <x:v>Unresolved</x:v>
      </x:c>
      <x:c r="B7" t="n">
        <x:f>COUNTIF(Pairs!F2:F10,"UNRESOLVED")</x:f>
        <x:v>0</x:v>
      </x:c>
    </x:row>
    <x:row r="8">
      <x:c r="A8" t="str">
        <x:v>Not comparable</x:v>
      </x:c>
      <x:c r="B8" t="n">
        <x:f>COUNTIF(Pairs!F2:F10,"NOT_COMPARABLE")</x:f>
        <x:v>1</x:v>
      </x:c>
    </x:row>
    <x:row r="9">
      <x:c r="A9" t="str">
        <x:v>Unpaired material nodes</x:v>
      </x:c>
      <x:c r="B9" t="n">
        <x:v>0</x:v>
      </x:c>
    </x:row>
    <x:row r="10">
      <x:c r="A10" t="str">
        <x:v>Input fingerprint</x:v>
      </x:c>
      <x:c r="B10" s="4" t="str">
        <x:v>68b2dfd93ece7a64f8f4f0edfbaaa2fa9f2ce89be9786d9ad95aab85b6b140fc</x:v>
      </x:c>
    </x:row>
    <x:row r="12">
      <x:c r="A12" t="str">
        <x:v>Additional measure</x:v>
      </x:c>
      <x:c r="B12" t="str">
        <x:v>Value</x:v>
      </x:c>
    </x:row>
    <x:row r="13">
      <x:c r="A13" t="str">
        <x:v>Partial overlaps</x:v>
      </x:c>
      <x:c r="B13" t="n">
        <x:f>COUNTIF(Pairs!F2:F10,"PARTIAL")</x:f>
        <x:v>1</x:v>
      </x:c>
    </x:row>
    <x:row r="14">
      <x:c r="A14" t="str">
        <x:v>Aligned pairs</x:v>
      </x:c>
      <x:c r="B14" t="n">
        <x:f>COUNTIF(Pairs!F2:F10,"ALIGNED")</x:f>
        <x:v>3</x:v>
      </x:c>
    </x:row>
    <x:row r="15">
      <x:c r="A15" t="str">
        <x:v>Review findings</x:v>
      </x:c>
      <x:c r="B15" t="n">
        <x:f>COUNTA(Findings!A2:A8)</x:f>
        <x:v>7</x:v>
      </x:c>
    </x:row>
    <x:row r="16">
      <x:c r="A16" t="str">
        <x:v>Registered sources</x:v>
      </x:c>
      <x:c r="B16" t="n">
        <x:f>COUNTA(Sources!A2:A3)</x:f>
        <x:v>2</x:v>
      </x:c>
    </x:row>
  </x:sheetData>
  <x:mergeCells>
    <x:mergeCell ref="A1:F1"/>
    <x:mergeCell ref="A2:F2"/>
    <x:mergeCell ref="B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8" customHeight="1">
      <x:c r="A1" s="6" t="str">
        <x:v>L order / M order</x:v>
      </x:c>
      <x:c r="B1" s="6" t="str">
        <x:v>M1</x:v>
      </x:c>
      <x:c r="C1" s="6" t="str">
        <x:v>M2</x:v>
      </x:c>
      <x:c r="D1" s="6" t="str">
        <x:v>M3</x:v>
      </x:c>
      <x:c r="E1" s="6" t="str">
        <x:v>M4</x:v>
      </x:c>
      <x:c r="F1" s="6" t="str">
        <x:v>M5</x:v>
      </x:c>
    </x:row>
    <x:row r="2" ht="48" customHeight="1">
      <x:c r="A2" s="4" t="str">
        <x:v>L1</x:v>
      </x:c>
      <x:c r="B2" s="4" t="str">
        <x:v>UNRESOLVED</x:v>
      </x:c>
      <x:c r="C2" s="4" t="str">
        <x:v>PARTIAL</x:v>
      </x:c>
      <x:c r="D2" s="4" t="str">
        <x:v>UNPAIRED</x:v>
      </x:c>
      <x:c r="E2" s="4" t="str">
        <x:v>CONFLICT</x:v>
      </x:c>
      <x:c r="F2" s="4" t="str">
        <x:v>UNPAIRED</x:v>
      </x:c>
    </x:row>
    <x:row r="3" ht="48" customHeight="1">
      <x:c r="A3" s="4" t="str">
        <x:v>L2</x:v>
      </x:c>
      <x:c r="B3" s="4" t="str">
        <x:v>UNPAIRED</x:v>
      </x:c>
      <x:c r="C3" s="4" t="str">
        <x:v>UNPAIRED</x:v>
      </x:c>
      <x:c r="D3" s="4" t="str">
        <x:v>CONFLICT</x:v>
      </x:c>
      <x:c r="E3" s="4" t="str">
        <x:v>ALIGNED</x:v>
      </x:c>
      <x:c r="F3" s="4" t="str">
        <x:v>UNPAIRED</x:v>
      </x:c>
    </x:row>
    <x:row r="4" ht="48" customHeight="1">
      <x:c r="A4" s="4" t="str">
        <x:v>L3</x:v>
      </x:c>
      <x:c r="B4" s="4" t="str">
        <x:v>UNPAIRED</x:v>
      </x:c>
      <x:c r="C4" s="4" t="str">
        <x:v>UNPAIRED</x:v>
      </x:c>
      <x:c r="D4" s="4" t="str">
        <x:v>ALIGNED</x:v>
      </x:c>
      <x:c r="E4" s="4" t="str">
        <x:v>UNPAIRED</x:v>
      </x:c>
      <x:c r="F4" s="4" t="str">
        <x:v>UNPAIRED</x:v>
      </x:c>
    </x:row>
    <x:row r="5" ht="48" customHeight="1">
      <x:c r="A5" s="4" t="str">
        <x:v>L4</x:v>
      </x:c>
      <x:c r="B5" s="4" t="str">
        <x:v>CONFLICT</x:v>
      </x:c>
      <x:c r="C5" s="4" t="str">
        <x:v>UNPAIRED</x:v>
      </x:c>
      <x:c r="D5" s="4" t="str">
        <x:v>UNPAIRED</x:v>
      </x:c>
      <x:c r="E5" s="4" t="str">
        <x:v>UNPAIRED</x:v>
      </x:c>
      <x:c r="F5" s="4" t="str">
        <x:v>UNPAIRED</x:v>
      </x:c>
    </x:row>
    <x:row r="6" ht="48" customHeight="1">
      <x:c r="A6" s="4" t="str">
        <x:v>L5</x:v>
      </x:c>
      <x:c r="B6" s="4" t="str">
        <x:v>UNPAIRED</x:v>
      </x:c>
      <x:c r="C6" s="4" t="str">
        <x:v>UNPAIRED</x:v>
      </x:c>
      <x:c r="D6" s="4" t="str">
        <x:v>UNPAIRED</x:v>
      </x:c>
      <x:c r="E6" s="4" t="str">
        <x:v>UNPAIRED</x:v>
      </x:c>
      <x:c r="F6" s="4" t="str">
        <x:v>CONFLICT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40" customHeight="1">
      <x:c r="A1" s="6" t="str">
        <x:v>Pair ID</x:v>
      </x:c>
      <x:c r="B1" s="6" t="str">
        <x:v>Left</x:v>
      </x:c>
      <x:c r="C1" s="6" t="str">
        <x:v>Right</x:v>
      </x:c>
      <x:c r="D1" s="6" t="str">
        <x:v>L order</x:v>
      </x:c>
      <x:c r="E1" s="6" t="str">
        <x:v>M order</x:v>
      </x:c>
      <x:c r="F1" s="6" t="str">
        <x:v>Status</x:v>
      </x:c>
      <x:c r="G1" s="6" t="str">
        <x:v>Comparable</x:v>
      </x:c>
      <x:c r="H1" s="6" t="str">
        <x:v>Signed delta (base unit)</x:v>
      </x:c>
      <x:c r="I1" s="6" t="str">
        <x:v>Raw collision /100</x:v>
      </x:c>
      <x:c r="J1" s="6" t="str">
        <x:v>Support-weighted /100</x:v>
      </x:c>
      <x:c r="K1" s="6" t="str">
        <x:v>Joint support</x:v>
      </x:c>
      <x:c r="L1" s="6" t="str">
        <x:v>Alignment metadata coverage</x:v>
      </x:c>
      <x:c r="M1" s="6" t="str">
        <x:v>Dependency warnings</x:v>
      </x:c>
    </x:row>
    <x:row r="2" ht="60" customHeight="1">
      <x:c r="A2" s="4" t="str">
        <x:v>confidence-overclaim</x:v>
      </x:c>
      <x:c r="B2" s="4" t="str">
        <x:v>L2-confidence</x:v>
      </x:c>
      <x:c r="C2" s="4" t="str">
        <x:v>M3-hit-rate</x:v>
      </x:c>
      <x:c r="D2" s="4" t="n">
        <x:v>2</x:v>
      </x:c>
      <x:c r="E2" s="4" t="n">
        <x:v>3</x:v>
      </x:c>
      <x:c r="F2" s="4" t="str">
        <x:v>CONFLICT</x:v>
      </x:c>
      <x:c r="G2" s="10" t="b">
        <x:v>1</x:v>
      </x:c>
      <x:c r="H2" s="4"/>
      <x:c r="I2" s="12" t="n">
        <x:v>100</x:v>
      </x:c>
      <x:c r="J2" s="12" t="n">
        <x:f>IF(OR(I2="",K2=""),"",I2*K2)</x:f>
        <x:v>90</x:v>
      </x:c>
      <x:c r="K2" s="12" t="n">
        <x:v>0.9</x:v>
      </x:c>
      <x:c r="L2" s="14" t="n">
        <x:v>1</x:v>
      </x:c>
      <x:c r="M2" s="4" t="str"/>
    </x:row>
    <x:row r="3" ht="60" customHeight="1">
      <x:c r="A3" s="4" t="str">
        <x:v>coverage-overclaim</x:v>
      </x:c>
      <x:c r="B3" s="4" t="str">
        <x:v>L1-coverage</x:v>
      </x:c>
      <x:c r="C3" s="4" t="str">
        <x:v>M4-coverage</x:v>
      </x:c>
      <x:c r="D3" s="4" t="n">
        <x:v>1</x:v>
      </x:c>
      <x:c r="E3" s="4" t="n">
        <x:v>4</x:v>
      </x:c>
      <x:c r="F3" s="4" t="str">
        <x:v>CONFLICT</x:v>
      </x:c>
      <x:c r="G3" s="10" t="b">
        <x:v>1</x:v>
      </x:c>
      <x:c r="H3" s="4" t="str">
        <x:v>'-0.4</x:v>
      </x:c>
      <x:c r="I3" s="12" t="n">
        <x:v>100</x:v>
      </x:c>
      <x:c r="J3" s="12" t="n">
        <x:f>IF(OR(I3="",K3=""),"",I3*K3)</x:f>
        <x:v>98</x:v>
      </x:c>
      <x:c r="K3" s="12" t="n">
        <x:v>0.98</x:v>
      </x:c>
      <x:c r="L3" s="14" t="n">
        <x:v>1</x:v>
      </x:c>
      <x:c r="M3" s="4" t="str"/>
    </x:row>
    <x:row r="4" ht="60" customHeight="1">
      <x:c r="A4" s="4" t="str">
        <x:v>dependence-overclaim</x:v>
      </x:c>
      <x:c r="B4" s="4" t="str">
        <x:v>L5-sources</x:v>
      </x:c>
      <x:c r="C4" s="4" t="str">
        <x:v>M5-source-count</x:v>
      </x:c>
      <x:c r="D4" s="4" t="n">
        <x:v>5</x:v>
      </x:c>
      <x:c r="E4" s="4" t="n">
        <x:v>5</x:v>
      </x:c>
      <x:c r="F4" s="4" t="str">
        <x:v>CONFLICT</x:v>
      </x:c>
      <x:c r="G4" s="10" t="b">
        <x:v>1</x:v>
      </x:c>
      <x:c r="H4" s="4" t="str">
        <x:v>'-1</x:v>
      </x:c>
      <x:c r="I4" s="12" t="n">
        <x:v>100</x:v>
      </x:c>
      <x:c r="J4" s="12" t="n">
        <x:f>IF(OR(I4="",K4=""),"",I4*K4)</x:f>
        <x:v>100</x:v>
      </x:c>
      <x:c r="K4" s="12" t="n">
        <x:v>1</x:v>
      </x:c>
      <x:c r="L4" s="14" t="n">
        <x:v>1</x:v>
      </x:c>
      <x:c r="M4" s="4" t="str">
        <x:v>shared source roots: synthetic-source; registered evidence shared roots: synthetic-source</x:v>
      </x:c>
    </x:row>
    <x:row r="5" ht="60" customHeight="1">
      <x:c r="A5" s="4" t="str">
        <x:v>freshness-claim</x:v>
      </x:c>
      <x:c r="B5" s="4" t="str">
        <x:v>L4-age-limit</x:v>
      </x:c>
      <x:c r="C5" s="4" t="str">
        <x:v>M1-age</x:v>
      </x:c>
      <x:c r="D5" s="4" t="n">
        <x:v>4</x:v>
      </x:c>
      <x:c r="E5" s="4" t="n">
        <x:v>1</x:v>
      </x:c>
      <x:c r="F5" s="4" t="str">
        <x:v>CONFLICT</x:v>
      </x:c>
      <x:c r="G5" s="10" t="b">
        <x:v>1</x:v>
      </x:c>
      <x:c r="H5" s="4"/>
      <x:c r="I5" s="12" t="n">
        <x:v>100</x:v>
      </x:c>
      <x:c r="J5" s="12" t="n">
        <x:f>IF(OR(I5="",K5=""),"",I5*K5)</x:f>
        <x:v>100</x:v>
      </x:c>
      <x:c r="K5" s="12" t="n">
        <x:v>1</x:v>
      </x:c>
      <x:c r="L5" s="14" t="n">
        <x:v>1</x:v>
      </x:c>
      <x:c r="M5" s="4" t="str">
        <x:v>shared source roots: synthetic-source; registered evidence shared roots: synthetic-source</x:v>
      </x:c>
    </x:row>
    <x:row r="6" ht="60" customHeight="1">
      <x:c r="A6" s="4" t="str">
        <x:v>qualified-coverage</x:v>
      </x:c>
      <x:c r="B6" s="4" t="str">
        <x:v>L2-coverage-bound</x:v>
      </x:c>
      <x:c r="C6" s="4" t="str">
        <x:v>M4-coverage</x:v>
      </x:c>
      <x:c r="D6" s="4" t="n">
        <x:v>2</x:v>
      </x:c>
      <x:c r="E6" s="4" t="n">
        <x:v>4</x:v>
      </x:c>
      <x:c r="F6" s="4" t="str">
        <x:v>ALIGNED</x:v>
      </x:c>
      <x:c r="G6" s="10" t="b">
        <x:v>1</x:v>
      </x:c>
      <x:c r="H6" s="4"/>
      <x:c r="I6" s="12" t="n">
        <x:v>0</x:v>
      </x:c>
      <x:c r="J6" s="12" t="str">
        <x:f>IF(OR(I6="",K6=""),"",I6*K6)</x:f>
      </x:c>
      <x:c r="K6" s="12" t="n">
        <x:v>0.98</x:v>
      </x:c>
      <x:c r="L6" s="14" t="n">
        <x:v>1</x:v>
      </x:c>
      <x:c r="M6" s="4" t="str"/>
    </x:row>
    <x:row r="7" ht="60" customHeight="1">
      <x:c r="A7" s="4" t="str">
        <x:v>support-case-count</x:v>
      </x:c>
      <x:c r="B7" s="4" t="str">
        <x:v>L3-trial-count</x:v>
      </x:c>
      <x:c r="C7" s="4" t="str">
        <x:v>M3-trial-count</x:v>
      </x:c>
      <x:c r="D7" s="4" t="n">
        <x:v>3</x:v>
      </x:c>
      <x:c r="E7" s="4" t="n">
        <x:v>3</x:v>
      </x:c>
      <x:c r="F7" s="4" t="str">
        <x:v>ALIGNED</x:v>
      </x:c>
      <x:c r="G7" s="10" t="b">
        <x:v>1</x:v>
      </x:c>
      <x:c r="H7" s="4" t="str">
        <x:v>0</x:v>
      </x:c>
      <x:c r="I7" s="12" t="n">
        <x:v>0</x:v>
      </x:c>
      <x:c r="J7" s="12" t="str">
        <x:f>IF(OR(I7="",K7=""),"",I7*K7)</x:f>
      </x:c>
      <x:c r="K7" s="12" t="n">
        <x:v>1</x:v>
      </x:c>
      <x:c r="L7" s="14" t="n">
        <x:v>1</x:v>
      </x:c>
      <x:c r="M7" s="4" t="str">
        <x:v>shared source roots: synthetic-source; registered evidence shared roots: synthetic-source</x:v>
      </x:c>
    </x:row>
    <x:row r="8" ht="60" customHeight="1">
      <x:c r="A8" s="4" t="str">
        <x:v>uncertain-count</x:v>
      </x:c>
      <x:c r="B8" s="4" t="str">
        <x:v>L1-detections</x:v>
      </x:c>
      <x:c r="C8" s="4" t="str">
        <x:v>M2-count-interval</x:v>
      </x:c>
      <x:c r="D8" s="4" t="n">
        <x:v>1</x:v>
      </x:c>
      <x:c r="E8" s="4" t="n">
        <x:v>2</x:v>
      </x:c>
      <x:c r="F8" s="4" t="str">
        <x:v>PARTIAL</x:v>
      </x:c>
      <x:c r="G8" s="10" t="b">
        <x:v>1</x:v>
      </x:c>
      <x:c r="H8" s="4"/>
      <x:c r="I8" s="12"/>
      <x:c r="J8" s="12" t="str">
        <x:f>IF(OR(I8="",K8=""),"",I8*K8)</x:f>
      </x:c>
      <x:c r="K8" s="12" t="n">
        <x:v>0.42</x:v>
      </x:c>
      <x:c r="L8" s="14" t="n">
        <x:v>1</x:v>
      </x:c>
      <x:c r="M8" s="4" t="str"/>
    </x:row>
    <x:row r="9" ht="60" customHeight="1">
      <x:c r="A9" s="4" t="str">
        <x:v>unsupported-absence</x:v>
      </x:c>
      <x:c r="B9" s="4" t="str">
        <x:v>L1-presence</x:v>
      </x:c>
      <x:c r="C9" s="4" t="str">
        <x:v>M1-detections</x:v>
      </x:c>
      <x:c r="D9" s="4" t="n">
        <x:v>1</x:v>
      </x:c>
      <x:c r="E9" s="4" t="n">
        <x:v>1</x:v>
      </x:c>
      <x:c r="F9" s="4" t="str">
        <x:v>NOT_COMPARABLE</x:v>
      </x:c>
      <x:c r="G9" s="10" t="b">
        <x:v>0</x:v>
      </x:c>
      <x:c r="H9" s="4"/>
      <x:c r="I9" s="12"/>
      <x:c r="J9" s="12" t="str">
        <x:f>IF(OR(I9="",K9=""),"",I9*K9)</x:f>
      </x:c>
      <x:c r="K9" s="12" t="n">
        <x:v>0.95</x:v>
      </x:c>
      <x:c r="L9" s="14" t="n">
        <x:v>1</x:v>
      </x:c>
      <x:c r="M9" s="4" t="str"/>
    </x:row>
    <x:row r="10" ht="60" customHeight="1">
      <x:c r="A10" s="4" t="str">
        <x:v>zero-preserved</x:v>
      </x:c>
      <x:c r="B10" s="4" t="str">
        <x:v>L1-detections</x:v>
      </x:c>
      <x:c r="C10" s="4" t="str">
        <x:v>M1-detections</x:v>
      </x:c>
      <x:c r="D10" s="4" t="n">
        <x:v>1</x:v>
      </x:c>
      <x:c r="E10" s="4" t="n">
        <x:v>1</x:v>
      </x:c>
      <x:c r="F10" s="4" t="str">
        <x:v>ALIGNED</x:v>
      </x:c>
      <x:c r="G10" s="10" t="b">
        <x:v>1</x:v>
      </x:c>
      <x:c r="H10" s="4" t="str">
        <x:v>0</x:v>
      </x:c>
      <x:c r="I10" s="12" t="n">
        <x:v>0</x:v>
      </x:c>
      <x:c r="J10" s="12" t="str">
        <x:f>IF(OR(I10="",K10=""),"",I10*K10)</x:f>
      </x:c>
      <x:c r="K10" s="12" t="n">
        <x:v>0.99</x:v>
      </x:c>
      <x:c r="L10" s="14" t="n">
        <x:v>1</x:v>
      </x:c>
      <x:c r="M10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0" hidden="0" customWidth="1"/>
  </x:cols>
  <x:sheetData>
    <x:row r="1" ht="40" customHeight="1">
      <x:c r="A1" s="6" t="str">
        <x:v>Pair ID</x:v>
      </x:c>
      <x:c r="B1" s="6" t="str">
        <x:v>Hinge order</x:v>
      </x:c>
      <x:c r="C1" s="6" t="str">
        <x:v>Check</x:v>
      </x:c>
      <x:c r="D1" s="6" t="str">
        <x:v>State</x:v>
      </x:c>
      <x:c r="E1" s="6" t="str">
        <x:v>Required</x:v>
      </x:c>
      <x:c r="F1" s="6" t="str">
        <x:v>Reason</x:v>
      </x:c>
    </x:row>
    <x:row r="2" ht="60" customHeight="1">
      <x:c r="A2" s="4" t="str">
        <x:v>confidence-overclaim</x:v>
      </x:c>
      <x:c r="B2" s="4" t="n">
        <x:v>1</x:v>
      </x:c>
      <x:c r="C2" s="4" t="str">
        <x:v>entity</x:v>
      </x:c>
      <x:c r="D2" s="4" t="str">
        <x:v>PASS</x:v>
      </x:c>
      <x:c r="E2" s="10" t="b">
        <x:v>1</x:v>
      </x:c>
      <x:c r="F2" s="4" t="str">
        <x:v>exact match in supplied representations</x:v>
      </x:c>
    </x:row>
    <x:row r="3" ht="60" customHeight="1">
      <x:c r="A3" s="4" t="str">
        <x:v>confidence-overclaim</x:v>
      </x:c>
      <x:c r="B3" s="4" t="n">
        <x:v>1</x:v>
      </x:c>
      <x:c r="C3" s="4" t="str">
        <x:v>concept</x:v>
      </x:c>
      <x:c r="D3" s="4" t="str">
        <x:v>PASS</x:v>
      </x:c>
      <x:c r="E3" s="10" t="b">
        <x:v>1</x:v>
      </x:c>
      <x:c r="F3" s="4" t="str">
        <x:v>exact match in supplied representations</x:v>
      </x:c>
    </x:row>
    <x:row r="4" ht="60" customHeight="1">
      <x:c r="A4" s="4" t="str">
        <x:v>confidence-overclaim</x:v>
      </x:c>
      <x:c r="B4" s="4" t="n">
        <x:v>4</x:v>
      </x:c>
      <x:c r="C4" s="4" t="str">
        <x:v>scope_id</x:v>
      </x:c>
      <x:c r="D4" s="4" t="str">
        <x:v>PASS</x:v>
      </x:c>
      <x:c r="E4" s="10" t="b">
        <x:v>1</x:v>
      </x:c>
      <x:c r="F4" s="4" t="str">
        <x:v>exact match in supplied representations</x:v>
      </x:c>
    </x:row>
    <x:row r="5" ht="60" customHeight="1">
      <x:c r="A5" s="4" t="str">
        <x:v>confidence-overclaim</x:v>
      </x:c>
      <x:c r="B5" s="4" t="n">
        <x:v>2</x:v>
      </x:c>
      <x:c r="C5" s="4" t="str">
        <x:v>population</x:v>
      </x:c>
      <x:c r="D5" s="4" t="str">
        <x:v>PASS</x:v>
      </x:c>
      <x:c r="E5" s="10" t="b">
        <x:v>1</x:v>
      </x:c>
      <x:c r="F5" s="4" t="str">
        <x:v>exact match in supplied representations</x:v>
      </x:c>
    </x:row>
    <x:row r="6" ht="60" customHeight="1">
      <x:c r="A6" s="4" t="str">
        <x:v>confidence-overclaim</x:v>
      </x:c>
      <x:c r="B6" s="4" t="n">
        <x:v>2</x:v>
      </x:c>
      <x:c r="C6" s="4" t="str">
        <x:v>denominator</x:v>
      </x:c>
      <x:c r="D6" s="4" t="str">
        <x:v>PASS</x:v>
      </x:c>
      <x:c r="E6" s="10" t="b">
        <x:v>1</x:v>
      </x:c>
      <x:c r="F6" s="4" t="str">
        <x:v>exact match in supplied representations</x:v>
      </x:c>
    </x:row>
    <x:row r="7" ht="60" customHeight="1">
      <x:c r="A7" s="4" t="str">
        <x:v>confidence-overclaim</x:v>
      </x:c>
      <x:c r="B7" s="4" t="n">
        <x:v>2</x:v>
      </x:c>
      <x:c r="C7" s="4" t="str">
        <x:v>granularity</x:v>
      </x:c>
      <x:c r="D7" s="4" t="str">
        <x:v>PASS</x:v>
      </x:c>
      <x:c r="E7" s="10" t="b">
        <x:v>1</x:v>
      </x:c>
      <x:c r="F7" s="4" t="str">
        <x:v>exact match in supplied representations</x:v>
      </x:c>
    </x:row>
    <x:row r="8" ht="60" customHeight="1">
      <x:c r="A8" s="4" t="str">
        <x:v>confidence-overclaim</x:v>
      </x:c>
      <x:c r="B8" s="4" t="n">
        <x:v>4</x:v>
      </x:c>
      <x:c r="C8" s="4" t="str">
        <x:v>location</x:v>
      </x:c>
      <x:c r="D8" s="4" t="str">
        <x:v>PASS</x:v>
      </x:c>
      <x:c r="E8" s="10" t="b">
        <x:v>1</x:v>
      </x:c>
      <x:c r="F8" s="4" t="str">
        <x:v>exact match in supplied representations</x:v>
      </x:c>
    </x:row>
    <x:row r="9" ht="60" customHeight="1">
      <x:c r="A9" s="4" t="str">
        <x:v>confidence-overclaim</x:v>
      </x:c>
      <x:c r="B9" s="4" t="n">
        <x:v>4</x:v>
      </x:c>
      <x:c r="C9" s="4" t="str">
        <x:v>definition_version</x:v>
      </x:c>
      <x:c r="D9" s="4" t="str">
        <x:v>PASS</x:v>
      </x:c>
      <x:c r="E9" s="10" t="b">
        <x:v>1</x:v>
      </x:c>
      <x:c r="F9" s="4" t="str">
        <x:v>exact match in supplied representations</x:v>
      </x:c>
    </x:row>
    <x:row r="10" ht="60" customHeight="1">
      <x:c r="A10" s="4" t="str">
        <x:v>confidence-overclaim</x:v>
      </x:c>
      <x:c r="B10" s="4" t="n">
        <x:v>2</x:v>
      </x:c>
      <x:c r="C10" s="4" t="str">
        <x:v>units</x:v>
      </x:c>
      <x:c r="D10" s="4" t="str">
        <x:v>PASS</x:v>
      </x:c>
      <x:c r="E10" s="10" t="b">
        <x:v>1</x:v>
      </x:c>
      <x:c r="F10" s="4" t="str">
        <x:v>dimensions match; exact registered conversion applied</x:v>
      </x:c>
    </x:row>
    <x:row r="11" ht="60" customHeight="1">
      <x:c r="A11" s="4" t="str">
        <x:v>confidence-overclaim</x:v>
      </x:c>
      <x:c r="B11" s="4" t="n">
        <x:v>4</x:v>
      </x:c>
      <x:c r="C11" s="4" t="str">
        <x:v>time</x:v>
      </x:c>
      <x:c r="D11" s="4" t="str">
        <x:v>PASS</x:v>
      </x:c>
      <x:c r="E11" s="10" t="b">
        <x:v>1</x:v>
      </x:c>
      <x:c r="F11" s="4" t="str">
        <x:v>same UTC interval; unequal aggregate windows are not interchangeable</x:v>
      </x:c>
    </x:row>
    <x:row r="12" ht="60" customHeight="1">
      <x:c r="A12" s="4" t="str">
        <x:v>confidence-overclaim</x:v>
      </x:c>
      <x:c r="B12" s="4" t="n">
        <x:v>1</x:v>
      </x:c>
      <x:c r="C12" s="4" t="str">
        <x:v>numeric_meaning</x:v>
      </x:c>
      <x:c r="D12" s="4" t="str">
        <x:v>PASS</x:v>
      </x:c>
      <x:c r="E12" s="10" t="b">
        <x:v>1</x:v>
      </x:c>
      <x:c r="F12" s="4" t="str">
        <x:v>both quantities represented as explicit admissible numeric sets</x:v>
      </x:c>
    </x:row>
    <x:row r="13" ht="60" customHeight="1">
      <x:c r="A13" s="4" t="str">
        <x:v>confidence-overclaim</x:v>
      </x:c>
      <x:c r="B13" s="4" t="n">
        <x:v>3</x:v>
      </x:c>
      <x:c r="C13" s="4" t="str">
        <x:v>method</x:v>
      </x:c>
      <x:c r="D13" s="4" t="str">
        <x:v>UNKNOWN</x:v>
      </x:c>
      <x:c r="E13" s="10" t="b">
        <x:v>0</x:v>
      </x:c>
      <x:c r="F13" s="4" t="str">
        <x:v>method metadata incomplete</x:v>
      </x:c>
    </x:row>
    <x:row r="14" ht="60" customHeight="1">
      <x:c r="A14" s="4" t="str">
        <x:v>confidence-overclaim</x:v>
      </x:c>
      <x:c r="B14" s="4" t="n">
        <x:v>5</x:v>
      </x:c>
      <x:c r="C14" s="4" t="str">
        <x:v>dependence</x:v>
      </x:c>
      <x:c r="D14" s="4" t="str">
        <x:v>PASS</x:v>
      </x:c>
      <x:c r="E14" s="10" t="b">
        <x:v>0</x:v>
      </x:c>
      <x:c r="F14" s="4" t="str">
        <x:v>no declared shared roots detected; independence not proven</x:v>
      </x:c>
    </x:row>
    <x:row r="15" ht="60" customHeight="1">
      <x:c r="A15" s="4" t="str">
        <x:v>confidence-overclaim</x:v>
      </x:c>
      <x:c r="B15" s="4" t="n">
        <x:v>3</x:v>
      </x:c>
      <x:c r="C15" s="4" t="str">
        <x:v>registered_evidence</x:v>
      </x:c>
      <x:c r="D15" s="4" t="str">
        <x:v>PASS</x:v>
      </x:c>
      <x:c r="E15" s="10" t="b">
        <x:v>1</x:v>
      </x:c>
      <x:c r="F15" s="4" t="str">
        <x:v>source IDs registered; factual accuracy/authenticity not established</x:v>
      </x:c>
    </x:row>
    <x:row r="16" ht="60" customHeight="1">
      <x:c r="A16" s="4" t="str">
        <x:v>coverage-overclaim</x:v>
      </x:c>
      <x:c r="B16" s="4" t="n">
        <x:v>1</x:v>
      </x:c>
      <x:c r="C16" s="4" t="str">
        <x:v>entity</x:v>
      </x:c>
      <x:c r="D16" s="4" t="str">
        <x:v>PASS</x:v>
      </x:c>
      <x:c r="E16" s="10" t="b">
        <x:v>1</x:v>
      </x:c>
      <x:c r="F16" s="4" t="str">
        <x:v>exact match in supplied representations</x:v>
      </x:c>
    </x:row>
    <x:row r="17" ht="60" customHeight="1">
      <x:c r="A17" s="4" t="str">
        <x:v>coverage-overclaim</x:v>
      </x:c>
      <x:c r="B17" s="4" t="n">
        <x:v>1</x:v>
      </x:c>
      <x:c r="C17" s="4" t="str">
        <x:v>concept</x:v>
      </x:c>
      <x:c r="D17" s="4" t="str">
        <x:v>PASS</x:v>
      </x:c>
      <x:c r="E17" s="10" t="b">
        <x:v>1</x:v>
      </x:c>
      <x:c r="F17" s="4" t="str">
        <x:v>exact match in supplied representations</x:v>
      </x:c>
    </x:row>
    <x:row r="18" ht="60" customHeight="1">
      <x:c r="A18" s="4" t="str">
        <x:v>coverage-overclaim</x:v>
      </x:c>
      <x:c r="B18" s="4" t="n">
        <x:v>4</x:v>
      </x:c>
      <x:c r="C18" s="4" t="str">
        <x:v>scope_id</x:v>
      </x:c>
      <x:c r="D18" s="4" t="str">
        <x:v>PASS</x:v>
      </x:c>
      <x:c r="E18" s="10" t="b">
        <x:v>1</x:v>
      </x:c>
      <x:c r="F18" s="4" t="str">
        <x:v>exact match in supplied representations</x:v>
      </x:c>
    </x:row>
    <x:row r="19" ht="60" customHeight="1">
      <x:c r="A19" s="4" t="str">
        <x:v>coverage-overclaim</x:v>
      </x:c>
      <x:c r="B19" s="4" t="n">
        <x:v>2</x:v>
      </x:c>
      <x:c r="C19" s="4" t="str">
        <x:v>population</x:v>
      </x:c>
      <x:c r="D19" s="4" t="str">
        <x:v>PASS</x:v>
      </x:c>
      <x:c r="E19" s="10" t="b">
        <x:v>1</x:v>
      </x:c>
      <x:c r="F19" s="4" t="str">
        <x:v>exact match in supplied representations</x:v>
      </x:c>
    </x:row>
    <x:row r="20" ht="60" customHeight="1">
      <x:c r="A20" s="4" t="str">
        <x:v>coverage-overclaim</x:v>
      </x:c>
      <x:c r="B20" s="4" t="n">
        <x:v>2</x:v>
      </x:c>
      <x:c r="C20" s="4" t="str">
        <x:v>denominator</x:v>
      </x:c>
      <x:c r="D20" s="4" t="str">
        <x:v>PASS</x:v>
      </x:c>
      <x:c r="E20" s="10" t="b">
        <x:v>1</x:v>
      </x:c>
      <x:c r="F20" s="4" t="str">
        <x:v>exact match in supplied representations</x:v>
      </x:c>
    </x:row>
    <x:row r="21" ht="60" customHeight="1">
      <x:c r="A21" s="4" t="str">
        <x:v>coverage-overclaim</x:v>
      </x:c>
      <x:c r="B21" s="4" t="n">
        <x:v>2</x:v>
      </x:c>
      <x:c r="C21" s="4" t="str">
        <x:v>granularity</x:v>
      </x:c>
      <x:c r="D21" s="4" t="str">
        <x:v>PASS</x:v>
      </x:c>
      <x:c r="E21" s="10" t="b">
        <x:v>1</x:v>
      </x:c>
      <x:c r="F21" s="4" t="str">
        <x:v>exact match in supplied representations</x:v>
      </x:c>
    </x:row>
    <x:row r="22" ht="60" customHeight="1">
      <x:c r="A22" s="4" t="str">
        <x:v>coverage-overclaim</x:v>
      </x:c>
      <x:c r="B22" s="4" t="n">
        <x:v>4</x:v>
      </x:c>
      <x:c r="C22" s="4" t="str">
        <x:v>location</x:v>
      </x:c>
      <x:c r="D22" s="4" t="str">
        <x:v>PASS</x:v>
      </x:c>
      <x:c r="E22" s="10" t="b">
        <x:v>1</x:v>
      </x:c>
      <x:c r="F22" s="4" t="str">
        <x:v>exact match in supplied representations</x:v>
      </x:c>
    </x:row>
    <x:row r="23" ht="60" customHeight="1">
      <x:c r="A23" s="4" t="str">
        <x:v>coverage-overclaim</x:v>
      </x:c>
      <x:c r="B23" s="4" t="n">
        <x:v>4</x:v>
      </x:c>
      <x:c r="C23" s="4" t="str">
        <x:v>definition_version</x:v>
      </x:c>
      <x:c r="D23" s="4" t="str">
        <x:v>PASS</x:v>
      </x:c>
      <x:c r="E23" s="10" t="b">
        <x:v>1</x:v>
      </x:c>
      <x:c r="F23" s="4" t="str">
        <x:v>exact match in supplied representations</x:v>
      </x:c>
    </x:row>
    <x:row r="24" ht="60" customHeight="1">
      <x:c r="A24" s="4" t="str">
        <x:v>coverage-overclaim</x:v>
      </x:c>
      <x:c r="B24" s="4" t="n">
        <x:v>2</x:v>
      </x:c>
      <x:c r="C24" s="4" t="str">
        <x:v>units</x:v>
      </x:c>
      <x:c r="D24" s="4" t="str">
        <x:v>PASS</x:v>
      </x:c>
      <x:c r="E24" s="10" t="b">
        <x:v>1</x:v>
      </x:c>
      <x:c r="F24" s="4" t="str">
        <x:v>dimensions match; exact registered conversion applied</x:v>
      </x:c>
    </x:row>
    <x:row r="25" ht="60" customHeight="1">
      <x:c r="A25" s="4" t="str">
        <x:v>coverage-overclaim</x:v>
      </x:c>
      <x:c r="B25" s="4" t="n">
        <x:v>4</x:v>
      </x:c>
      <x:c r="C25" s="4" t="str">
        <x:v>time</x:v>
      </x:c>
      <x:c r="D25" s="4" t="str">
        <x:v>PASS</x:v>
      </x:c>
      <x:c r="E25" s="10" t="b">
        <x:v>1</x:v>
      </x:c>
      <x:c r="F25" s="4" t="str">
        <x:v>same UTC interval; unequal aggregate windows are not interchangeable</x:v>
      </x:c>
    </x:row>
    <x:row r="26" ht="60" customHeight="1">
      <x:c r="A26" s="4" t="str">
        <x:v>coverage-overclaim</x:v>
      </x:c>
      <x:c r="B26" s="4" t="n">
        <x:v>1</x:v>
      </x:c>
      <x:c r="C26" s="4" t="str">
        <x:v>numeric_meaning</x:v>
      </x:c>
      <x:c r="D26" s="4" t="str">
        <x:v>PASS</x:v>
      </x:c>
      <x:c r="E26" s="10" t="b">
        <x:v>1</x:v>
      </x:c>
      <x:c r="F26" s="4" t="str">
        <x:v>both quantities represented as explicit admissible numeric sets</x:v>
      </x:c>
    </x:row>
    <x:row r="27" ht="60" customHeight="1">
      <x:c r="A27" s="4" t="str">
        <x:v>coverage-overclaim</x:v>
      </x:c>
      <x:c r="B27" s="4" t="n">
        <x:v>3</x:v>
      </x:c>
      <x:c r="C27" s="4" t="str">
        <x:v>method</x:v>
      </x:c>
      <x:c r="D27" s="4" t="str">
        <x:v>UNKNOWN</x:v>
      </x:c>
      <x:c r="E27" s="10" t="b">
        <x:v>0</x:v>
      </x:c>
      <x:c r="F27" s="4" t="str">
        <x:v>method metadata incomplete</x:v>
      </x:c>
    </x:row>
    <x:row r="28" ht="60" customHeight="1">
      <x:c r="A28" s="4" t="str">
        <x:v>coverage-overclaim</x:v>
      </x:c>
      <x:c r="B28" s="4" t="n">
        <x:v>5</x:v>
      </x:c>
      <x:c r="C28" s="4" t="str">
        <x:v>dependence</x:v>
      </x:c>
      <x:c r="D28" s="4" t="str">
        <x:v>PASS</x:v>
      </x:c>
      <x:c r="E28" s="10" t="b">
        <x:v>0</x:v>
      </x:c>
      <x:c r="F28" s="4" t="str">
        <x:v>no declared shared roots detected; independence not proven</x:v>
      </x:c>
    </x:row>
    <x:row r="29" ht="60" customHeight="1">
      <x:c r="A29" s="4" t="str">
        <x:v>coverage-overclaim</x:v>
      </x:c>
      <x:c r="B29" s="4" t="n">
        <x:v>3</x:v>
      </x:c>
      <x:c r="C29" s="4" t="str">
        <x:v>registered_evidence</x:v>
      </x:c>
      <x:c r="D29" s="4" t="str">
        <x:v>PASS</x:v>
      </x:c>
      <x:c r="E29" s="10" t="b">
        <x:v>1</x:v>
      </x:c>
      <x:c r="F29" s="4" t="str">
        <x:v>source IDs registered; factual accuracy/authenticity not established</x:v>
      </x:c>
    </x:row>
    <x:row r="30" ht="60" customHeight="1">
      <x:c r="A30" s="4" t="str">
        <x:v>dependence-overclaim</x:v>
      </x:c>
      <x:c r="B30" s="4" t="n">
        <x:v>1</x:v>
      </x:c>
      <x:c r="C30" s="4" t="str">
        <x:v>entity</x:v>
      </x:c>
      <x:c r="D30" s="4" t="str">
        <x:v>PASS</x:v>
      </x:c>
      <x:c r="E30" s="10" t="b">
        <x:v>1</x:v>
      </x:c>
      <x:c r="F30" s="4" t="str">
        <x:v>exact match in supplied representations</x:v>
      </x:c>
    </x:row>
    <x:row r="31" ht="60" customHeight="1">
      <x:c r="A31" s="4" t="str">
        <x:v>dependence-overclaim</x:v>
      </x:c>
      <x:c r="B31" s="4" t="n">
        <x:v>1</x:v>
      </x:c>
      <x:c r="C31" s="4" t="str">
        <x:v>concept</x:v>
      </x:c>
      <x:c r="D31" s="4" t="str">
        <x:v>PASS</x:v>
      </x:c>
      <x:c r="E31" s="10" t="b">
        <x:v>1</x:v>
      </x:c>
      <x:c r="F31" s="4" t="str">
        <x:v>exact match in supplied representations</x:v>
      </x:c>
    </x:row>
    <x:row r="32" ht="60" customHeight="1">
      <x:c r="A32" s="4" t="str">
        <x:v>dependence-overclaim</x:v>
      </x:c>
      <x:c r="B32" s="4" t="n">
        <x:v>4</x:v>
      </x:c>
      <x:c r="C32" s="4" t="str">
        <x:v>scope_id</x:v>
      </x:c>
      <x:c r="D32" s="4" t="str">
        <x:v>PASS</x:v>
      </x:c>
      <x:c r="E32" s="10" t="b">
        <x:v>1</x:v>
      </x:c>
      <x:c r="F32" s="4" t="str">
        <x:v>exact match in supplied representations</x:v>
      </x:c>
    </x:row>
    <x:row r="33" ht="60" customHeight="1">
      <x:c r="A33" s="4" t="str">
        <x:v>dependence-overclaim</x:v>
      </x:c>
      <x:c r="B33" s="4" t="n">
        <x:v>2</x:v>
      </x:c>
      <x:c r="C33" s="4" t="str">
        <x:v>population</x:v>
      </x:c>
      <x:c r="D33" s="4" t="str">
        <x:v>PASS</x:v>
      </x:c>
      <x:c r="E33" s="10" t="b">
        <x:v>1</x:v>
      </x:c>
      <x:c r="F33" s="4" t="str">
        <x:v>exact match in supplied representations</x:v>
      </x:c>
    </x:row>
    <x:row r="34" ht="60" customHeight="1">
      <x:c r="A34" s="4" t="str">
        <x:v>dependence-overclaim</x:v>
      </x:c>
      <x:c r="B34" s="4" t="n">
        <x:v>2</x:v>
      </x:c>
      <x:c r="C34" s="4" t="str">
        <x:v>denominator</x:v>
      </x:c>
      <x:c r="D34" s="4" t="str">
        <x:v>PASS</x:v>
      </x:c>
      <x:c r="E34" s="10" t="b">
        <x:v>1</x:v>
      </x:c>
      <x:c r="F34" s="4" t="str">
        <x:v>exact match in supplied representations</x:v>
      </x:c>
    </x:row>
    <x:row r="35" ht="60" customHeight="1">
      <x:c r="A35" s="4" t="str">
        <x:v>dependence-overclaim</x:v>
      </x:c>
      <x:c r="B35" s="4" t="n">
        <x:v>2</x:v>
      </x:c>
      <x:c r="C35" s="4" t="str">
        <x:v>granularity</x:v>
      </x:c>
      <x:c r="D35" s="4" t="str">
        <x:v>PASS</x:v>
      </x:c>
      <x:c r="E35" s="10" t="b">
        <x:v>1</x:v>
      </x:c>
      <x:c r="F35" s="4" t="str">
        <x:v>exact match in supplied representations</x:v>
      </x:c>
    </x:row>
    <x:row r="36" ht="60" customHeight="1">
      <x:c r="A36" s="4" t="str">
        <x:v>dependence-overclaim</x:v>
      </x:c>
      <x:c r="B36" s="4" t="n">
        <x:v>4</x:v>
      </x:c>
      <x:c r="C36" s="4" t="str">
        <x:v>location</x:v>
      </x:c>
      <x:c r="D36" s="4" t="str">
        <x:v>PASS</x:v>
      </x:c>
      <x:c r="E36" s="10" t="b">
        <x:v>1</x:v>
      </x:c>
      <x:c r="F36" s="4" t="str">
        <x:v>exact match in supplied representations</x:v>
      </x:c>
    </x:row>
    <x:row r="37" ht="60" customHeight="1">
      <x:c r="A37" s="4" t="str">
        <x:v>dependence-overclaim</x:v>
      </x:c>
      <x:c r="B37" s="4" t="n">
        <x:v>4</x:v>
      </x:c>
      <x:c r="C37" s="4" t="str">
        <x:v>definition_version</x:v>
      </x:c>
      <x:c r="D37" s="4" t="str">
        <x:v>PASS</x:v>
      </x:c>
      <x:c r="E37" s="10" t="b">
        <x:v>1</x:v>
      </x:c>
      <x:c r="F37" s="4" t="str">
        <x:v>exact match in supplied representations</x:v>
      </x:c>
    </x:row>
    <x:row r="38" ht="60" customHeight="1">
      <x:c r="A38" s="4" t="str">
        <x:v>dependence-overclaim</x:v>
      </x:c>
      <x:c r="B38" s="4" t="n">
        <x:v>2</x:v>
      </x:c>
      <x:c r="C38" s="4" t="str">
        <x:v>units</x:v>
      </x:c>
      <x:c r="D38" s="4" t="str">
        <x:v>PASS</x:v>
      </x:c>
      <x:c r="E38" s="10" t="b">
        <x:v>1</x:v>
      </x:c>
      <x:c r="F38" s="4" t="str">
        <x:v>dimensions match; exact registered conversion applied</x:v>
      </x:c>
    </x:row>
    <x:row r="39" ht="60" customHeight="1">
      <x:c r="A39" s="4" t="str">
        <x:v>dependence-overclaim</x:v>
      </x:c>
      <x:c r="B39" s="4" t="n">
        <x:v>4</x:v>
      </x:c>
      <x:c r="C39" s="4" t="str">
        <x:v>time</x:v>
      </x:c>
      <x:c r="D39" s="4" t="str">
        <x:v>PASS</x:v>
      </x:c>
      <x:c r="E39" s="10" t="b">
        <x:v>1</x:v>
      </x:c>
      <x:c r="F39" s="4" t="str">
        <x:v>same UTC interval; unequal aggregate windows are not interchangeable</x:v>
      </x:c>
    </x:row>
    <x:row r="40" ht="60" customHeight="1">
      <x:c r="A40" s="4" t="str">
        <x:v>dependence-overclaim</x:v>
      </x:c>
      <x:c r="B40" s="4" t="n">
        <x:v>1</x:v>
      </x:c>
      <x:c r="C40" s="4" t="str">
        <x:v>numeric_meaning</x:v>
      </x:c>
      <x:c r="D40" s="4" t="str">
        <x:v>PASS</x:v>
      </x:c>
      <x:c r="E40" s="10" t="b">
        <x:v>1</x:v>
      </x:c>
      <x:c r="F40" s="4" t="str">
        <x:v>both quantities represented as explicit admissible numeric sets</x:v>
      </x:c>
    </x:row>
    <x:row r="41" ht="60" customHeight="1">
      <x:c r="A41" s="4" t="str">
        <x:v>dependence-overclaim</x:v>
      </x:c>
      <x:c r="B41" s="4" t="n">
        <x:v>3</x:v>
      </x:c>
      <x:c r="C41" s="4" t="str">
        <x:v>method</x:v>
      </x:c>
      <x:c r="D41" s="4" t="str">
        <x:v>UNKNOWN</x:v>
      </x:c>
      <x:c r="E41" s="10" t="b">
        <x:v>0</x:v>
      </x:c>
      <x:c r="F41" s="4" t="str">
        <x:v>method metadata incomplete</x:v>
      </x:c>
    </x:row>
    <x:row r="42" ht="60" customHeight="1">
      <x:c r="A42" s="4" t="str">
        <x:v>dependence-overclaim</x:v>
      </x:c>
      <x:c r="B42" s="4" t="n">
        <x:v>5</x:v>
      </x:c>
      <x:c r="C42" s="4" t="str">
        <x:v>dependence</x:v>
      </x:c>
      <x:c r="D42" s="4" t="str">
        <x:v>UNKNOWN</x:v>
      </x:c>
      <x:c r="E42" s="10" t="b">
        <x:v>0</x:v>
      </x:c>
      <x:c r="F42" s="4" t="str">
        <x:v>shared source roots: synthetic-source; registered evidence shared roots: synthetic-source</x:v>
      </x:c>
    </x:row>
    <x:row r="43" ht="60" customHeight="1">
      <x:c r="A43" s="4" t="str">
        <x:v>dependence-overclaim</x:v>
      </x:c>
      <x:c r="B43" s="4" t="n">
        <x:v>3</x:v>
      </x:c>
      <x:c r="C43" s="4" t="str">
        <x:v>registered_evidence</x:v>
      </x:c>
      <x:c r="D43" s="4" t="str">
        <x:v>PASS</x:v>
      </x:c>
      <x:c r="E43" s="10" t="b">
        <x:v>1</x:v>
      </x:c>
      <x:c r="F43" s="4" t="str">
        <x:v>source IDs registered; factual accuracy/authenticity not established; shared evidence roots: synthetic-source</x:v>
      </x:c>
    </x:row>
    <x:row r="44" ht="60" customHeight="1">
      <x:c r="A44" s="4" t="str">
        <x:v>freshness-claim</x:v>
      </x:c>
      <x:c r="B44" s="4" t="n">
        <x:v>1</x:v>
      </x:c>
      <x:c r="C44" s="4" t="str">
        <x:v>entity</x:v>
      </x:c>
      <x:c r="D44" s="4" t="str">
        <x:v>PASS</x:v>
      </x:c>
      <x:c r="E44" s="10" t="b">
        <x:v>1</x:v>
      </x:c>
      <x:c r="F44" s="4" t="str">
        <x:v>exact match in supplied representations</x:v>
      </x:c>
    </x:row>
    <x:row r="45" ht="60" customHeight="1">
      <x:c r="A45" s="4" t="str">
        <x:v>freshness-claim</x:v>
      </x:c>
      <x:c r="B45" s="4" t="n">
        <x:v>1</x:v>
      </x:c>
      <x:c r="C45" s="4" t="str">
        <x:v>concept</x:v>
      </x:c>
      <x:c r="D45" s="4" t="str">
        <x:v>PASS</x:v>
      </x:c>
      <x:c r="E45" s="10" t="b">
        <x:v>1</x:v>
      </x:c>
      <x:c r="F45" s="4" t="str">
        <x:v>exact match in supplied representations</x:v>
      </x:c>
    </x:row>
    <x:row r="46" ht="60" customHeight="1">
      <x:c r="A46" s="4" t="str">
        <x:v>freshness-claim</x:v>
      </x:c>
      <x:c r="B46" s="4" t="n">
        <x:v>4</x:v>
      </x:c>
      <x:c r="C46" s="4" t="str">
        <x:v>scope_id</x:v>
      </x:c>
      <x:c r="D46" s="4" t="str">
        <x:v>PASS</x:v>
      </x:c>
      <x:c r="E46" s="10" t="b">
        <x:v>1</x:v>
      </x:c>
      <x:c r="F46" s="4" t="str">
        <x:v>exact match in supplied representations</x:v>
      </x:c>
    </x:row>
    <x:row r="47" ht="60" customHeight="1">
      <x:c r="A47" s="4" t="str">
        <x:v>freshness-claim</x:v>
      </x:c>
      <x:c r="B47" s="4" t="n">
        <x:v>2</x:v>
      </x:c>
      <x:c r="C47" s="4" t="str">
        <x:v>population</x:v>
      </x:c>
      <x:c r="D47" s="4" t="str">
        <x:v>PASS</x:v>
      </x:c>
      <x:c r="E47" s="10" t="b">
        <x:v>1</x:v>
      </x:c>
      <x:c r="F47" s="4" t="str">
        <x:v>exact match in supplied representations</x:v>
      </x:c>
    </x:row>
    <x:row r="48" ht="60" customHeight="1">
      <x:c r="A48" s="4" t="str">
        <x:v>freshness-claim</x:v>
      </x:c>
      <x:c r="B48" s="4" t="n">
        <x:v>2</x:v>
      </x:c>
      <x:c r="C48" s="4" t="str">
        <x:v>denominator</x:v>
      </x:c>
      <x:c r="D48" s="4" t="str">
        <x:v>PASS</x:v>
      </x:c>
      <x:c r="E48" s="10" t="b">
        <x:v>1</x:v>
      </x:c>
      <x:c r="F48" s="4" t="str">
        <x:v>exact match in supplied representations</x:v>
      </x:c>
    </x:row>
    <x:row r="49" ht="60" customHeight="1">
      <x:c r="A49" s="4" t="str">
        <x:v>freshness-claim</x:v>
      </x:c>
      <x:c r="B49" s="4" t="n">
        <x:v>2</x:v>
      </x:c>
      <x:c r="C49" s="4" t="str">
        <x:v>granularity</x:v>
      </x:c>
      <x:c r="D49" s="4" t="str">
        <x:v>PASS</x:v>
      </x:c>
      <x:c r="E49" s="10" t="b">
        <x:v>1</x:v>
      </x:c>
      <x:c r="F49" s="4" t="str">
        <x:v>exact match in supplied representations</x:v>
      </x:c>
    </x:row>
    <x:row r="50" ht="60" customHeight="1">
      <x:c r="A50" s="4" t="str">
        <x:v>freshness-claim</x:v>
      </x:c>
      <x:c r="B50" s="4" t="n">
        <x:v>4</x:v>
      </x:c>
      <x:c r="C50" s="4" t="str">
        <x:v>location</x:v>
      </x:c>
      <x:c r="D50" s="4" t="str">
        <x:v>PASS</x:v>
      </x:c>
      <x:c r="E50" s="10" t="b">
        <x:v>1</x:v>
      </x:c>
      <x:c r="F50" s="4" t="str">
        <x:v>exact match in supplied representations</x:v>
      </x:c>
    </x:row>
    <x:row r="51" ht="60" customHeight="1">
      <x:c r="A51" s="4" t="str">
        <x:v>freshness-claim</x:v>
      </x:c>
      <x:c r="B51" s="4" t="n">
        <x:v>4</x:v>
      </x:c>
      <x:c r="C51" s="4" t="str">
        <x:v>definition_version</x:v>
      </x:c>
      <x:c r="D51" s="4" t="str">
        <x:v>PASS</x:v>
      </x:c>
      <x:c r="E51" s="10" t="b">
        <x:v>1</x:v>
      </x:c>
      <x:c r="F51" s="4" t="str">
        <x:v>exact match in supplied representations</x:v>
      </x:c>
    </x:row>
    <x:row r="52" ht="60" customHeight="1">
      <x:c r="A52" s="4" t="str">
        <x:v>freshness-claim</x:v>
      </x:c>
      <x:c r="B52" s="4" t="n">
        <x:v>2</x:v>
      </x:c>
      <x:c r="C52" s="4" t="str">
        <x:v>units</x:v>
      </x:c>
      <x:c r="D52" s="4" t="str">
        <x:v>PASS</x:v>
      </x:c>
      <x:c r="E52" s="10" t="b">
        <x:v>1</x:v>
      </x:c>
      <x:c r="F52" s="4" t="str">
        <x:v>dimensions match; exact registered conversion applied</x:v>
      </x:c>
    </x:row>
    <x:row r="53" ht="60" customHeight="1">
      <x:c r="A53" s="4" t="str">
        <x:v>freshness-claim</x:v>
      </x:c>
      <x:c r="B53" s="4" t="n">
        <x:v>4</x:v>
      </x:c>
      <x:c r="C53" s="4" t="str">
        <x:v>time</x:v>
      </x:c>
      <x:c r="D53" s="4" t="str">
        <x:v>PASS</x:v>
      </x:c>
      <x:c r="E53" s="10" t="b">
        <x:v>1</x:v>
      </x:c>
      <x:c r="F53" s="4" t="str">
        <x:v>same UTC interval; unequal aggregate windows are not interchangeable</x:v>
      </x:c>
    </x:row>
    <x:row r="54" ht="60" customHeight="1">
      <x:c r="A54" s="4" t="str">
        <x:v>freshness-claim</x:v>
      </x:c>
      <x:c r="B54" s="4" t="n">
        <x:v>1</x:v>
      </x:c>
      <x:c r="C54" s="4" t="str">
        <x:v>numeric_meaning</x:v>
      </x:c>
      <x:c r="D54" s="4" t="str">
        <x:v>PASS</x:v>
      </x:c>
      <x:c r="E54" s="10" t="b">
        <x:v>1</x:v>
      </x:c>
      <x:c r="F54" s="4" t="str">
        <x:v>both quantities represented as explicit admissible numeric sets</x:v>
      </x:c>
    </x:row>
    <x:row r="55" ht="60" customHeight="1">
      <x:c r="A55" s="4" t="str">
        <x:v>freshness-claim</x:v>
      </x:c>
      <x:c r="B55" s="4" t="n">
        <x:v>3</x:v>
      </x:c>
      <x:c r="C55" s="4" t="str">
        <x:v>method</x:v>
      </x:c>
      <x:c r="D55" s="4" t="str">
        <x:v>UNKNOWN</x:v>
      </x:c>
      <x:c r="E55" s="10" t="b">
        <x:v>0</x:v>
      </x:c>
      <x:c r="F55" s="4" t="str">
        <x:v>method metadata incomplete</x:v>
      </x:c>
    </x:row>
    <x:row r="56" ht="60" customHeight="1">
      <x:c r="A56" s="4" t="str">
        <x:v>freshness-claim</x:v>
      </x:c>
      <x:c r="B56" s="4" t="n">
        <x:v>5</x:v>
      </x:c>
      <x:c r="C56" s="4" t="str">
        <x:v>dependence</x:v>
      </x:c>
      <x:c r="D56" s="4" t="str">
        <x:v>UNKNOWN</x:v>
      </x:c>
      <x:c r="E56" s="10" t="b">
        <x:v>0</x:v>
      </x:c>
      <x:c r="F56" s="4" t="str">
        <x:v>shared source roots: synthetic-source; registered evidence shared roots: synthetic-source</x:v>
      </x:c>
    </x:row>
    <x:row r="57" ht="60" customHeight="1">
      <x:c r="A57" s="4" t="str">
        <x:v>freshness-claim</x:v>
      </x:c>
      <x:c r="B57" s="4" t="n">
        <x:v>3</x:v>
      </x:c>
      <x:c r="C57" s="4" t="str">
        <x:v>registered_evidence</x:v>
      </x:c>
      <x:c r="D57" s="4" t="str">
        <x:v>PASS</x:v>
      </x:c>
      <x:c r="E57" s="10" t="b">
        <x:v>1</x:v>
      </x:c>
      <x:c r="F57" s="4" t="str">
        <x:v>source IDs registered; factual accuracy/authenticity not established; shared evidence roots: synthetic-source</x:v>
      </x:c>
    </x:row>
    <x:row r="58" ht="60" customHeight="1">
      <x:c r="A58" s="4" t="str">
        <x:v>qualified-coverage</x:v>
      </x:c>
      <x:c r="B58" s="4" t="n">
        <x:v>1</x:v>
      </x:c>
      <x:c r="C58" s="4" t="str">
        <x:v>entity</x:v>
      </x:c>
      <x:c r="D58" s="4" t="str">
        <x:v>PASS</x:v>
      </x:c>
      <x:c r="E58" s="10" t="b">
        <x:v>1</x:v>
      </x:c>
      <x:c r="F58" s="4" t="str">
        <x:v>exact match in supplied representations</x:v>
      </x:c>
    </x:row>
    <x:row r="59" ht="60" customHeight="1">
      <x:c r="A59" s="4" t="str">
        <x:v>qualified-coverage</x:v>
      </x:c>
      <x:c r="B59" s="4" t="n">
        <x:v>1</x:v>
      </x:c>
      <x:c r="C59" s="4" t="str">
        <x:v>concept</x:v>
      </x:c>
      <x:c r="D59" s="4" t="str">
        <x:v>PASS</x:v>
      </x:c>
      <x:c r="E59" s="10" t="b">
        <x:v>1</x:v>
      </x:c>
      <x:c r="F59" s="4" t="str">
        <x:v>exact match in supplied representations</x:v>
      </x:c>
    </x:row>
    <x:row r="60" ht="60" customHeight="1">
      <x:c r="A60" s="4" t="str">
        <x:v>qualified-coverage</x:v>
      </x:c>
      <x:c r="B60" s="4" t="n">
        <x:v>4</x:v>
      </x:c>
      <x:c r="C60" s="4" t="str">
        <x:v>scope_id</x:v>
      </x:c>
      <x:c r="D60" s="4" t="str">
        <x:v>PASS</x:v>
      </x:c>
      <x:c r="E60" s="10" t="b">
        <x:v>1</x:v>
      </x:c>
      <x:c r="F60" s="4" t="str">
        <x:v>exact match in supplied representations</x:v>
      </x:c>
    </x:row>
    <x:row r="61" ht="60" customHeight="1">
      <x:c r="A61" s="4" t="str">
        <x:v>qualified-coverage</x:v>
      </x:c>
      <x:c r="B61" s="4" t="n">
        <x:v>2</x:v>
      </x:c>
      <x:c r="C61" s="4" t="str">
        <x:v>population</x:v>
      </x:c>
      <x:c r="D61" s="4" t="str">
        <x:v>PASS</x:v>
      </x:c>
      <x:c r="E61" s="10" t="b">
        <x:v>1</x:v>
      </x:c>
      <x:c r="F61" s="4" t="str">
        <x:v>exact match in supplied representations</x:v>
      </x:c>
    </x:row>
    <x:row r="62" ht="60" customHeight="1">
      <x:c r="A62" s="4" t="str">
        <x:v>qualified-coverage</x:v>
      </x:c>
      <x:c r="B62" s="4" t="n">
        <x:v>2</x:v>
      </x:c>
      <x:c r="C62" s="4" t="str">
        <x:v>denominator</x:v>
      </x:c>
      <x:c r="D62" s="4" t="str">
        <x:v>PASS</x:v>
      </x:c>
      <x:c r="E62" s="10" t="b">
        <x:v>1</x:v>
      </x:c>
      <x:c r="F62" s="4" t="str">
        <x:v>exact match in supplied representations</x:v>
      </x:c>
    </x:row>
    <x:row r="63" ht="60" customHeight="1">
      <x:c r="A63" s="4" t="str">
        <x:v>qualified-coverage</x:v>
      </x:c>
      <x:c r="B63" s="4" t="n">
        <x:v>2</x:v>
      </x:c>
      <x:c r="C63" s="4" t="str">
        <x:v>granularity</x:v>
      </x:c>
      <x:c r="D63" s="4" t="str">
        <x:v>PASS</x:v>
      </x:c>
      <x:c r="E63" s="10" t="b">
        <x:v>1</x:v>
      </x:c>
      <x:c r="F63" s="4" t="str">
        <x:v>exact match in supplied representations</x:v>
      </x:c>
    </x:row>
    <x:row r="64" ht="60" customHeight="1">
      <x:c r="A64" s="4" t="str">
        <x:v>qualified-coverage</x:v>
      </x:c>
      <x:c r="B64" s="4" t="n">
        <x:v>4</x:v>
      </x:c>
      <x:c r="C64" s="4" t="str">
        <x:v>location</x:v>
      </x:c>
      <x:c r="D64" s="4" t="str">
        <x:v>PASS</x:v>
      </x:c>
      <x:c r="E64" s="10" t="b">
        <x:v>1</x:v>
      </x:c>
      <x:c r="F64" s="4" t="str">
        <x:v>exact match in supplied representations</x:v>
      </x:c>
    </x:row>
    <x:row r="65" ht="60" customHeight="1">
      <x:c r="A65" s="4" t="str">
        <x:v>qualified-coverage</x:v>
      </x:c>
      <x:c r="B65" s="4" t="n">
        <x:v>4</x:v>
      </x:c>
      <x:c r="C65" s="4" t="str">
        <x:v>definition_version</x:v>
      </x:c>
      <x:c r="D65" s="4" t="str">
        <x:v>PASS</x:v>
      </x:c>
      <x:c r="E65" s="10" t="b">
        <x:v>1</x:v>
      </x:c>
      <x:c r="F65" s="4" t="str">
        <x:v>exact match in supplied representations</x:v>
      </x:c>
    </x:row>
    <x:row r="66" ht="60" customHeight="1">
      <x:c r="A66" s="4" t="str">
        <x:v>qualified-coverage</x:v>
      </x:c>
      <x:c r="B66" s="4" t="n">
        <x:v>2</x:v>
      </x:c>
      <x:c r="C66" s="4" t="str">
        <x:v>units</x:v>
      </x:c>
      <x:c r="D66" s="4" t="str">
        <x:v>PASS</x:v>
      </x:c>
      <x:c r="E66" s="10" t="b">
        <x:v>1</x:v>
      </x:c>
      <x:c r="F66" s="4" t="str">
        <x:v>dimensions match; exact registered conversion applied</x:v>
      </x:c>
    </x:row>
    <x:row r="67" ht="60" customHeight="1">
      <x:c r="A67" s="4" t="str">
        <x:v>qualified-coverage</x:v>
      </x:c>
      <x:c r="B67" s="4" t="n">
        <x:v>4</x:v>
      </x:c>
      <x:c r="C67" s="4" t="str">
        <x:v>time</x:v>
      </x:c>
      <x:c r="D67" s="4" t="str">
        <x:v>PASS</x:v>
      </x:c>
      <x:c r="E67" s="10" t="b">
        <x:v>1</x:v>
      </x:c>
      <x:c r="F67" s="4" t="str">
        <x:v>same UTC interval; unequal aggregate windows are not interchangeable</x:v>
      </x:c>
    </x:row>
    <x:row r="68" ht="60" customHeight="1">
      <x:c r="A68" s="4" t="str">
        <x:v>qualified-coverage</x:v>
      </x:c>
      <x:c r="B68" s="4" t="n">
        <x:v>1</x:v>
      </x:c>
      <x:c r="C68" s="4" t="str">
        <x:v>numeric_meaning</x:v>
      </x:c>
      <x:c r="D68" s="4" t="str">
        <x:v>PASS</x:v>
      </x:c>
      <x:c r="E68" s="10" t="b">
        <x:v>1</x:v>
      </x:c>
      <x:c r="F68" s="4" t="str">
        <x:v>both quantities represented as explicit admissible numeric sets</x:v>
      </x:c>
    </x:row>
    <x:row r="69" ht="60" customHeight="1">
      <x:c r="A69" s="4" t="str">
        <x:v>qualified-coverage</x:v>
      </x:c>
      <x:c r="B69" s="4" t="n">
        <x:v>3</x:v>
      </x:c>
      <x:c r="C69" s="4" t="str">
        <x:v>method</x:v>
      </x:c>
      <x:c r="D69" s="4" t="str">
        <x:v>UNKNOWN</x:v>
      </x:c>
      <x:c r="E69" s="10" t="b">
        <x:v>0</x:v>
      </x:c>
      <x:c r="F69" s="4" t="str">
        <x:v>method metadata incomplete</x:v>
      </x:c>
    </x:row>
    <x:row r="70" ht="60" customHeight="1">
      <x:c r="A70" s="4" t="str">
        <x:v>qualified-coverage</x:v>
      </x:c>
      <x:c r="B70" s="4" t="n">
        <x:v>5</x:v>
      </x:c>
      <x:c r="C70" s="4" t="str">
        <x:v>dependence</x:v>
      </x:c>
      <x:c r="D70" s="4" t="str">
        <x:v>PASS</x:v>
      </x:c>
      <x:c r="E70" s="10" t="b">
        <x:v>0</x:v>
      </x:c>
      <x:c r="F70" s="4" t="str">
        <x:v>no declared shared roots detected; independence not proven</x:v>
      </x:c>
    </x:row>
    <x:row r="71" ht="60" customHeight="1">
      <x:c r="A71" s="4" t="str">
        <x:v>qualified-coverage</x:v>
      </x:c>
      <x:c r="B71" s="4" t="n">
        <x:v>3</x:v>
      </x:c>
      <x:c r="C71" s="4" t="str">
        <x:v>registered_evidence</x:v>
      </x:c>
      <x:c r="D71" s="4" t="str">
        <x:v>PASS</x:v>
      </x:c>
      <x:c r="E71" s="10" t="b">
        <x:v>1</x:v>
      </x:c>
      <x:c r="F71" s="4" t="str">
        <x:v>source IDs registered; factual accuracy/authenticity not established</x:v>
      </x:c>
    </x:row>
    <x:row r="72" ht="60" customHeight="1">
      <x:c r="A72" s="4" t="str">
        <x:v>support-case-count</x:v>
      </x:c>
      <x:c r="B72" s="4" t="n">
        <x:v>1</x:v>
      </x:c>
      <x:c r="C72" s="4" t="str">
        <x:v>entity</x:v>
      </x:c>
      <x:c r="D72" s="4" t="str">
        <x:v>PASS</x:v>
      </x:c>
      <x:c r="E72" s="10" t="b">
        <x:v>1</x:v>
      </x:c>
      <x:c r="F72" s="4" t="str">
        <x:v>exact match in supplied representations</x:v>
      </x:c>
    </x:row>
    <x:row r="73" ht="60" customHeight="1">
      <x:c r="A73" s="4" t="str">
        <x:v>support-case-count</x:v>
      </x:c>
      <x:c r="B73" s="4" t="n">
        <x:v>1</x:v>
      </x:c>
      <x:c r="C73" s="4" t="str">
        <x:v>concept</x:v>
      </x:c>
      <x:c r="D73" s="4" t="str">
        <x:v>PASS</x:v>
      </x:c>
      <x:c r="E73" s="10" t="b">
        <x:v>1</x:v>
      </x:c>
      <x:c r="F73" s="4" t="str">
        <x:v>exact match in supplied representations</x:v>
      </x:c>
    </x:row>
    <x:row r="74" ht="60" customHeight="1">
      <x:c r="A74" s="4" t="str">
        <x:v>support-case-count</x:v>
      </x:c>
      <x:c r="B74" s="4" t="n">
        <x:v>4</x:v>
      </x:c>
      <x:c r="C74" s="4" t="str">
        <x:v>scope_id</x:v>
      </x:c>
      <x:c r="D74" s="4" t="str">
        <x:v>PASS</x:v>
      </x:c>
      <x:c r="E74" s="10" t="b">
        <x:v>1</x:v>
      </x:c>
      <x:c r="F74" s="4" t="str">
        <x:v>exact match in supplied representations</x:v>
      </x:c>
    </x:row>
    <x:row r="75" ht="60" customHeight="1">
      <x:c r="A75" s="4" t="str">
        <x:v>support-case-count</x:v>
      </x:c>
      <x:c r="B75" s="4" t="n">
        <x:v>2</x:v>
      </x:c>
      <x:c r="C75" s="4" t="str">
        <x:v>population</x:v>
      </x:c>
      <x:c r="D75" s="4" t="str">
        <x:v>PASS</x:v>
      </x:c>
      <x:c r="E75" s="10" t="b">
        <x:v>1</x:v>
      </x:c>
      <x:c r="F75" s="4" t="str">
        <x:v>exact match in supplied representations</x:v>
      </x:c>
    </x:row>
    <x:row r="76" ht="60" customHeight="1">
      <x:c r="A76" s="4" t="str">
        <x:v>support-case-count</x:v>
      </x:c>
      <x:c r="B76" s="4" t="n">
        <x:v>2</x:v>
      </x:c>
      <x:c r="C76" s="4" t="str">
        <x:v>denominator</x:v>
      </x:c>
      <x:c r="D76" s="4" t="str">
        <x:v>PASS</x:v>
      </x:c>
      <x:c r="E76" s="10" t="b">
        <x:v>1</x:v>
      </x:c>
      <x:c r="F76" s="4" t="str">
        <x:v>exact match in supplied representations</x:v>
      </x:c>
    </x:row>
    <x:row r="77" ht="60" customHeight="1">
      <x:c r="A77" s="4" t="str">
        <x:v>support-case-count</x:v>
      </x:c>
      <x:c r="B77" s="4" t="n">
        <x:v>2</x:v>
      </x:c>
      <x:c r="C77" s="4" t="str">
        <x:v>granularity</x:v>
      </x:c>
      <x:c r="D77" s="4" t="str">
        <x:v>PASS</x:v>
      </x:c>
      <x:c r="E77" s="10" t="b">
        <x:v>1</x:v>
      </x:c>
      <x:c r="F77" s="4" t="str">
        <x:v>exact match in supplied representations</x:v>
      </x:c>
    </x:row>
    <x:row r="78" ht="60" customHeight="1">
      <x:c r="A78" s="4" t="str">
        <x:v>support-case-count</x:v>
      </x:c>
      <x:c r="B78" s="4" t="n">
        <x:v>4</x:v>
      </x:c>
      <x:c r="C78" s="4" t="str">
        <x:v>location</x:v>
      </x:c>
      <x:c r="D78" s="4" t="str">
        <x:v>PASS</x:v>
      </x:c>
      <x:c r="E78" s="10" t="b">
        <x:v>1</x:v>
      </x:c>
      <x:c r="F78" s="4" t="str">
        <x:v>exact match in supplied representations</x:v>
      </x:c>
    </x:row>
    <x:row r="79" ht="60" customHeight="1">
      <x:c r="A79" s="4" t="str">
        <x:v>support-case-count</x:v>
      </x:c>
      <x:c r="B79" s="4" t="n">
        <x:v>4</x:v>
      </x:c>
      <x:c r="C79" s="4" t="str">
        <x:v>definition_version</x:v>
      </x:c>
      <x:c r="D79" s="4" t="str">
        <x:v>PASS</x:v>
      </x:c>
      <x:c r="E79" s="10" t="b">
        <x:v>1</x:v>
      </x:c>
      <x:c r="F79" s="4" t="str">
        <x:v>exact match in supplied representations</x:v>
      </x:c>
    </x:row>
    <x:row r="80" ht="60" customHeight="1">
      <x:c r="A80" s="4" t="str">
        <x:v>support-case-count</x:v>
      </x:c>
      <x:c r="B80" s="4" t="n">
        <x:v>2</x:v>
      </x:c>
      <x:c r="C80" s="4" t="str">
        <x:v>units</x:v>
      </x:c>
      <x:c r="D80" s="4" t="str">
        <x:v>PASS</x:v>
      </x:c>
      <x:c r="E80" s="10" t="b">
        <x:v>1</x:v>
      </x:c>
      <x:c r="F80" s="4" t="str">
        <x:v>dimensions match; exact registered conversion applied</x:v>
      </x:c>
    </x:row>
    <x:row r="81" ht="60" customHeight="1">
      <x:c r="A81" s="4" t="str">
        <x:v>support-case-count</x:v>
      </x:c>
      <x:c r="B81" s="4" t="n">
        <x:v>4</x:v>
      </x:c>
      <x:c r="C81" s="4" t="str">
        <x:v>time</x:v>
      </x:c>
      <x:c r="D81" s="4" t="str">
        <x:v>PASS</x:v>
      </x:c>
      <x:c r="E81" s="10" t="b">
        <x:v>1</x:v>
      </x:c>
      <x:c r="F81" s="4" t="str">
        <x:v>same UTC interval; unequal aggregate windows are not interchangeable</x:v>
      </x:c>
    </x:row>
    <x:row r="82" ht="60" customHeight="1">
      <x:c r="A82" s="4" t="str">
        <x:v>support-case-count</x:v>
      </x:c>
      <x:c r="B82" s="4" t="n">
        <x:v>1</x:v>
      </x:c>
      <x:c r="C82" s="4" t="str">
        <x:v>numeric_meaning</x:v>
      </x:c>
      <x:c r="D82" s="4" t="str">
        <x:v>PASS</x:v>
      </x:c>
      <x:c r="E82" s="10" t="b">
        <x:v>1</x:v>
      </x:c>
      <x:c r="F82" s="4" t="str">
        <x:v>both quantities represented as explicit admissible numeric sets</x:v>
      </x:c>
    </x:row>
    <x:row r="83" ht="60" customHeight="1">
      <x:c r="A83" s="4" t="str">
        <x:v>support-case-count</x:v>
      </x:c>
      <x:c r="B83" s="4" t="n">
        <x:v>3</x:v>
      </x:c>
      <x:c r="C83" s="4" t="str">
        <x:v>method</x:v>
      </x:c>
      <x:c r="D83" s="4" t="str">
        <x:v>UNKNOWN</x:v>
      </x:c>
      <x:c r="E83" s="10" t="b">
        <x:v>0</x:v>
      </x:c>
      <x:c r="F83" s="4" t="str">
        <x:v>method metadata incomplete</x:v>
      </x:c>
    </x:row>
    <x:row r="84" ht="60" customHeight="1">
      <x:c r="A84" s="4" t="str">
        <x:v>support-case-count</x:v>
      </x:c>
      <x:c r="B84" s="4" t="n">
        <x:v>5</x:v>
      </x:c>
      <x:c r="C84" s="4" t="str">
        <x:v>dependence</x:v>
      </x:c>
      <x:c r="D84" s="4" t="str">
        <x:v>UNKNOWN</x:v>
      </x:c>
      <x:c r="E84" s="10" t="b">
        <x:v>0</x:v>
      </x:c>
      <x:c r="F84" s="4" t="str">
        <x:v>shared source roots: synthetic-source; registered evidence shared roots: synthetic-source</x:v>
      </x:c>
    </x:row>
    <x:row r="85" ht="60" customHeight="1">
      <x:c r="A85" s="4" t="str">
        <x:v>support-case-count</x:v>
      </x:c>
      <x:c r="B85" s="4" t="n">
        <x:v>3</x:v>
      </x:c>
      <x:c r="C85" s="4" t="str">
        <x:v>registered_evidence</x:v>
      </x:c>
      <x:c r="D85" s="4" t="str">
        <x:v>PASS</x:v>
      </x:c>
      <x:c r="E85" s="10" t="b">
        <x:v>1</x:v>
      </x:c>
      <x:c r="F85" s="4" t="str">
        <x:v>source IDs registered; factual accuracy/authenticity not established; shared evidence roots: synthetic-source</x:v>
      </x:c>
    </x:row>
    <x:row r="86" ht="60" customHeight="1">
      <x:c r="A86" s="4" t="str">
        <x:v>uncertain-count</x:v>
      </x:c>
      <x:c r="B86" s="4" t="n">
        <x:v>1</x:v>
      </x:c>
      <x:c r="C86" s="4" t="str">
        <x:v>entity</x:v>
      </x:c>
      <x:c r="D86" s="4" t="str">
        <x:v>PASS</x:v>
      </x:c>
      <x:c r="E86" s="10" t="b">
        <x:v>1</x:v>
      </x:c>
      <x:c r="F86" s="4" t="str">
        <x:v>exact match in supplied representations</x:v>
      </x:c>
    </x:row>
    <x:row r="87" ht="60" customHeight="1">
      <x:c r="A87" s="4" t="str">
        <x:v>uncertain-count</x:v>
      </x:c>
      <x:c r="B87" s="4" t="n">
        <x:v>1</x:v>
      </x:c>
      <x:c r="C87" s="4" t="str">
        <x:v>concept</x:v>
      </x:c>
      <x:c r="D87" s="4" t="str">
        <x:v>PASS</x:v>
      </x:c>
      <x:c r="E87" s="10" t="b">
        <x:v>1</x:v>
      </x:c>
      <x:c r="F87" s="4" t="str">
        <x:v>exact match in supplied representations</x:v>
      </x:c>
    </x:row>
    <x:row r="88" ht="60" customHeight="1">
      <x:c r="A88" s="4" t="str">
        <x:v>uncertain-count</x:v>
      </x:c>
      <x:c r="B88" s="4" t="n">
        <x:v>4</x:v>
      </x:c>
      <x:c r="C88" s="4" t="str">
        <x:v>scope_id</x:v>
      </x:c>
      <x:c r="D88" s="4" t="str">
        <x:v>PASS</x:v>
      </x:c>
      <x:c r="E88" s="10" t="b">
        <x:v>1</x:v>
      </x:c>
      <x:c r="F88" s="4" t="str">
        <x:v>exact match in supplied representations</x:v>
      </x:c>
    </x:row>
    <x:row r="89" ht="60" customHeight="1">
      <x:c r="A89" s="4" t="str">
        <x:v>uncertain-count</x:v>
      </x:c>
      <x:c r="B89" s="4" t="n">
        <x:v>2</x:v>
      </x:c>
      <x:c r="C89" s="4" t="str">
        <x:v>population</x:v>
      </x:c>
      <x:c r="D89" s="4" t="str">
        <x:v>PASS</x:v>
      </x:c>
      <x:c r="E89" s="10" t="b">
        <x:v>1</x:v>
      </x:c>
      <x:c r="F89" s="4" t="str">
        <x:v>exact match in supplied representations</x:v>
      </x:c>
    </x:row>
    <x:row r="90" ht="60" customHeight="1">
      <x:c r="A90" s="4" t="str">
        <x:v>uncertain-count</x:v>
      </x:c>
      <x:c r="B90" s="4" t="n">
        <x:v>2</x:v>
      </x:c>
      <x:c r="C90" s="4" t="str">
        <x:v>denominator</x:v>
      </x:c>
      <x:c r="D90" s="4" t="str">
        <x:v>PASS</x:v>
      </x:c>
      <x:c r="E90" s="10" t="b">
        <x:v>1</x:v>
      </x:c>
      <x:c r="F90" s="4" t="str">
        <x:v>exact match in supplied representations</x:v>
      </x:c>
    </x:row>
    <x:row r="91" ht="60" customHeight="1">
      <x:c r="A91" s="4" t="str">
        <x:v>uncertain-count</x:v>
      </x:c>
      <x:c r="B91" s="4" t="n">
        <x:v>2</x:v>
      </x:c>
      <x:c r="C91" s="4" t="str">
        <x:v>granularity</x:v>
      </x:c>
      <x:c r="D91" s="4" t="str">
        <x:v>PASS</x:v>
      </x:c>
      <x:c r="E91" s="10" t="b">
        <x:v>1</x:v>
      </x:c>
      <x:c r="F91" s="4" t="str">
        <x:v>exact match in supplied representations</x:v>
      </x:c>
    </x:row>
    <x:row r="92" ht="60" customHeight="1">
      <x:c r="A92" s="4" t="str">
        <x:v>uncertain-count</x:v>
      </x:c>
      <x:c r="B92" s="4" t="n">
        <x:v>4</x:v>
      </x:c>
      <x:c r="C92" s="4" t="str">
        <x:v>location</x:v>
      </x:c>
      <x:c r="D92" s="4" t="str">
        <x:v>PASS</x:v>
      </x:c>
      <x:c r="E92" s="10" t="b">
        <x:v>1</x:v>
      </x:c>
      <x:c r="F92" s="4" t="str">
        <x:v>exact match in supplied representations</x:v>
      </x:c>
    </x:row>
    <x:row r="93" ht="60" customHeight="1">
      <x:c r="A93" s="4" t="str">
        <x:v>uncertain-count</x:v>
      </x:c>
      <x:c r="B93" s="4" t="n">
        <x:v>4</x:v>
      </x:c>
      <x:c r="C93" s="4" t="str">
        <x:v>definition_version</x:v>
      </x:c>
      <x:c r="D93" s="4" t="str">
        <x:v>PASS</x:v>
      </x:c>
      <x:c r="E93" s="10" t="b">
        <x:v>1</x:v>
      </x:c>
      <x:c r="F93" s="4" t="str">
        <x:v>exact match in supplied representations</x:v>
      </x:c>
    </x:row>
    <x:row r="94" ht="60" customHeight="1">
      <x:c r="A94" s="4" t="str">
        <x:v>uncertain-count</x:v>
      </x:c>
      <x:c r="B94" s="4" t="n">
        <x:v>2</x:v>
      </x:c>
      <x:c r="C94" s="4" t="str">
        <x:v>units</x:v>
      </x:c>
      <x:c r="D94" s="4" t="str">
        <x:v>PASS</x:v>
      </x:c>
      <x:c r="E94" s="10" t="b">
        <x:v>1</x:v>
      </x:c>
      <x:c r="F94" s="4" t="str">
        <x:v>dimensions match; exact registered conversion applied</x:v>
      </x:c>
    </x:row>
    <x:row r="95" ht="60" customHeight="1">
      <x:c r="A95" s="4" t="str">
        <x:v>uncertain-count</x:v>
      </x:c>
      <x:c r="B95" s="4" t="n">
        <x:v>4</x:v>
      </x:c>
      <x:c r="C95" s="4" t="str">
        <x:v>time</x:v>
      </x:c>
      <x:c r="D95" s="4" t="str">
        <x:v>PASS</x:v>
      </x:c>
      <x:c r="E95" s="10" t="b">
        <x:v>1</x:v>
      </x:c>
      <x:c r="F95" s="4" t="str">
        <x:v>same UTC interval; unequal aggregate windows are not interchangeable</x:v>
      </x:c>
    </x:row>
    <x:row r="96" ht="60" customHeight="1">
      <x:c r="A96" s="4" t="str">
        <x:v>uncertain-count</x:v>
      </x:c>
      <x:c r="B96" s="4" t="n">
        <x:v>1</x:v>
      </x:c>
      <x:c r="C96" s="4" t="str">
        <x:v>numeric_meaning</x:v>
      </x:c>
      <x:c r="D96" s="4" t="str">
        <x:v>PASS</x:v>
      </x:c>
      <x:c r="E96" s="10" t="b">
        <x:v>1</x:v>
      </x:c>
      <x:c r="F96" s="4" t="str">
        <x:v>both quantities represented as explicit admissible numeric sets</x:v>
      </x:c>
    </x:row>
    <x:row r="97" ht="60" customHeight="1">
      <x:c r="A97" s="4" t="str">
        <x:v>uncertain-count</x:v>
      </x:c>
      <x:c r="B97" s="4" t="n">
        <x:v>3</x:v>
      </x:c>
      <x:c r="C97" s="4" t="str">
        <x:v>method</x:v>
      </x:c>
      <x:c r="D97" s="4" t="str">
        <x:v>UNKNOWN</x:v>
      </x:c>
      <x:c r="E97" s="10" t="b">
        <x:v>0</x:v>
      </x:c>
      <x:c r="F97" s="4" t="str">
        <x:v>method metadata incomplete</x:v>
      </x:c>
    </x:row>
    <x:row r="98" ht="60" customHeight="1">
      <x:c r="A98" s="4" t="str">
        <x:v>uncertain-count</x:v>
      </x:c>
      <x:c r="B98" s="4" t="n">
        <x:v>5</x:v>
      </x:c>
      <x:c r="C98" s="4" t="str">
        <x:v>dependence</x:v>
      </x:c>
      <x:c r="D98" s="4" t="str">
        <x:v>PASS</x:v>
      </x:c>
      <x:c r="E98" s="10" t="b">
        <x:v>0</x:v>
      </x:c>
      <x:c r="F98" s="4" t="str">
        <x:v>no declared shared roots detected; independence not proven</x:v>
      </x:c>
    </x:row>
    <x:row r="99" ht="60" customHeight="1">
      <x:c r="A99" s="4" t="str">
        <x:v>uncertain-count</x:v>
      </x:c>
      <x:c r="B99" s="4" t="n">
        <x:v>3</x:v>
      </x:c>
      <x:c r="C99" s="4" t="str">
        <x:v>registered_evidence</x:v>
      </x:c>
      <x:c r="D99" s="4" t="str">
        <x:v>PASS</x:v>
      </x:c>
      <x:c r="E99" s="10" t="b">
        <x:v>1</x:v>
      </x:c>
      <x:c r="F99" s="4" t="str">
        <x:v>source IDs registered; factual accuracy/authenticity not established</x:v>
      </x:c>
    </x:row>
    <x:row r="100" ht="60" customHeight="1">
      <x:c r="A100" s="4" t="str">
        <x:v>unsupported-absence</x:v>
      </x:c>
      <x:c r="B100" s="4" t="n">
        <x:v>1</x:v>
      </x:c>
      <x:c r="C100" s="4" t="str">
        <x:v>entity</x:v>
      </x:c>
      <x:c r="D100" s="4" t="str">
        <x:v>PASS</x:v>
      </x:c>
      <x:c r="E100" s="10" t="b">
        <x:v>1</x:v>
      </x:c>
      <x:c r="F100" s="4" t="str">
        <x:v>exact match in supplied representations</x:v>
      </x:c>
    </x:row>
    <x:row r="101" ht="60" customHeight="1">
      <x:c r="A101" s="4" t="str">
        <x:v>unsupported-absence</x:v>
      </x:c>
      <x:c r="B101" s="4" t="n">
        <x:v>1</x:v>
      </x:c>
      <x:c r="C101" s="4" t="str">
        <x:v>concept</x:v>
      </x:c>
      <x:c r="D101" s="4" t="str">
        <x:v>FAIL</x:v>
      </x:c>
      <x:c r="E101" s="10" t="b">
        <x:v>1</x:v>
      </x:c>
      <x:c r="F101" s="4" t="str">
        <x:v>declared identities or scopes differ; not a numeric contradiction</x:v>
      </x:c>
    </x:row>
    <x:row r="102" ht="60" customHeight="1">
      <x:c r="A102" s="4" t="str">
        <x:v>unsupported-absence</x:v>
      </x:c>
      <x:c r="B102" s="4" t="n">
        <x:v>4</x:v>
      </x:c>
      <x:c r="C102" s="4" t="str">
        <x:v>scope_id</x:v>
      </x:c>
      <x:c r="D102" s="4" t="str">
        <x:v>PASS</x:v>
      </x:c>
      <x:c r="E102" s="10" t="b">
        <x:v>1</x:v>
      </x:c>
      <x:c r="F102" s="4" t="str">
        <x:v>exact match in supplied representations</x:v>
      </x:c>
    </x:row>
    <x:row r="103" ht="60" customHeight="1">
      <x:c r="A103" s="4" t="str">
        <x:v>unsupported-absence</x:v>
      </x:c>
      <x:c r="B103" s="4" t="n">
        <x:v>2</x:v>
      </x:c>
      <x:c r="C103" s="4" t="str">
        <x:v>population</x:v>
      </x:c>
      <x:c r="D103" s="4" t="str">
        <x:v>PASS</x:v>
      </x:c>
      <x:c r="E103" s="10" t="b">
        <x:v>1</x:v>
      </x:c>
      <x:c r="F103" s="4" t="str">
        <x:v>exact match in supplied representations</x:v>
      </x:c>
    </x:row>
    <x:row r="104" ht="60" customHeight="1">
      <x:c r="A104" s="4" t="str">
        <x:v>unsupported-absence</x:v>
      </x:c>
      <x:c r="B104" s="4" t="n">
        <x:v>2</x:v>
      </x:c>
      <x:c r="C104" s="4" t="str">
        <x:v>denominator</x:v>
      </x:c>
      <x:c r="D104" s="4" t="str">
        <x:v>PASS</x:v>
      </x:c>
      <x:c r="E104" s="10" t="b">
        <x:v>1</x:v>
      </x:c>
      <x:c r="F104" s="4" t="str">
        <x:v>exact match in supplied representations</x:v>
      </x:c>
    </x:row>
    <x:row r="105" ht="60" customHeight="1">
      <x:c r="A105" s="4" t="str">
        <x:v>unsupported-absence</x:v>
      </x:c>
      <x:c r="B105" s="4" t="n">
        <x:v>2</x:v>
      </x:c>
      <x:c r="C105" s="4" t="str">
        <x:v>granularity</x:v>
      </x:c>
      <x:c r="D105" s="4" t="str">
        <x:v>PASS</x:v>
      </x:c>
      <x:c r="E105" s="10" t="b">
        <x:v>1</x:v>
      </x:c>
      <x:c r="F105" s="4" t="str">
        <x:v>exact match in supplied representations</x:v>
      </x:c>
    </x:row>
    <x:row r="106" ht="60" customHeight="1">
      <x:c r="A106" s="4" t="str">
        <x:v>unsupported-absence</x:v>
      </x:c>
      <x:c r="B106" s="4" t="n">
        <x:v>4</x:v>
      </x:c>
      <x:c r="C106" s="4" t="str">
        <x:v>location</x:v>
      </x:c>
      <x:c r="D106" s="4" t="str">
        <x:v>PASS</x:v>
      </x:c>
      <x:c r="E106" s="10" t="b">
        <x:v>1</x:v>
      </x:c>
      <x:c r="F106" s="4" t="str">
        <x:v>exact match in supplied representations</x:v>
      </x:c>
    </x:row>
    <x:row r="107" ht="60" customHeight="1">
      <x:c r="A107" s="4" t="str">
        <x:v>unsupported-absence</x:v>
      </x:c>
      <x:c r="B107" s="4" t="n">
        <x:v>4</x:v>
      </x:c>
      <x:c r="C107" s="4" t="str">
        <x:v>definition_version</x:v>
      </x:c>
      <x:c r="D107" s="4" t="str">
        <x:v>PASS</x:v>
      </x:c>
      <x:c r="E107" s="10" t="b">
        <x:v>1</x:v>
      </x:c>
      <x:c r="F107" s="4" t="str">
        <x:v>exact match in supplied representations</x:v>
      </x:c>
    </x:row>
    <x:row r="108" ht="60" customHeight="1">
      <x:c r="A108" s="4" t="str">
        <x:v>unsupported-absence</x:v>
      </x:c>
      <x:c r="B108" s="4" t="n">
        <x:v>2</x:v>
      </x:c>
      <x:c r="C108" s="4" t="str">
        <x:v>units</x:v>
      </x:c>
      <x:c r="D108" s="4" t="str">
        <x:v>PASS</x:v>
      </x:c>
      <x:c r="E108" s="10" t="b">
        <x:v>1</x:v>
      </x:c>
      <x:c r="F108" s="4" t="str">
        <x:v>dimensions match; exact registered conversion applied</x:v>
      </x:c>
    </x:row>
    <x:row r="109" ht="60" customHeight="1">
      <x:c r="A109" s="4" t="str">
        <x:v>unsupported-absence</x:v>
      </x:c>
      <x:c r="B109" s="4" t="n">
        <x:v>4</x:v>
      </x:c>
      <x:c r="C109" s="4" t="str">
        <x:v>time</x:v>
      </x:c>
      <x:c r="D109" s="4" t="str">
        <x:v>PASS</x:v>
      </x:c>
      <x:c r="E109" s="10" t="b">
        <x:v>1</x:v>
      </x:c>
      <x:c r="F109" s="4" t="str">
        <x:v>same UTC interval; unequal aggregate windows are not interchangeable</x:v>
      </x:c>
    </x:row>
    <x:row r="110" ht="60" customHeight="1">
      <x:c r="A110" s="4" t="str">
        <x:v>unsupported-absence</x:v>
      </x:c>
      <x:c r="B110" s="4" t="n">
        <x:v>1</x:v>
      </x:c>
      <x:c r="C110" s="4" t="str">
        <x:v>numeric_meaning</x:v>
      </x:c>
      <x:c r="D110" s="4" t="str">
        <x:v>PASS</x:v>
      </x:c>
      <x:c r="E110" s="10" t="b">
        <x:v>1</x:v>
      </x:c>
      <x:c r="F110" s="4" t="str">
        <x:v>both quantities represented as explicit admissible numeric sets</x:v>
      </x:c>
    </x:row>
    <x:row r="111" ht="60" customHeight="1">
      <x:c r="A111" s="4" t="str">
        <x:v>unsupported-absence</x:v>
      </x:c>
      <x:c r="B111" s="4" t="n">
        <x:v>3</x:v>
      </x:c>
      <x:c r="C111" s="4" t="str">
        <x:v>method</x:v>
      </x:c>
      <x:c r="D111" s="4" t="str">
        <x:v>UNKNOWN</x:v>
      </x:c>
      <x:c r="E111" s="10" t="b">
        <x:v>0</x:v>
      </x:c>
      <x:c r="F111" s="4" t="str">
        <x:v>method metadata incomplete</x:v>
      </x:c>
    </x:row>
    <x:row r="112" ht="60" customHeight="1">
      <x:c r="A112" s="4" t="str">
        <x:v>unsupported-absence</x:v>
      </x:c>
      <x:c r="B112" s="4" t="n">
        <x:v>5</x:v>
      </x:c>
      <x:c r="C112" s="4" t="str">
        <x:v>dependence</x:v>
      </x:c>
      <x:c r="D112" s="4" t="str">
        <x:v>PASS</x:v>
      </x:c>
      <x:c r="E112" s="10" t="b">
        <x:v>0</x:v>
      </x:c>
      <x:c r="F112" s="4" t="str">
        <x:v>no declared shared roots detected; independence not proven</x:v>
      </x:c>
    </x:row>
    <x:row r="113" ht="60" customHeight="1">
      <x:c r="A113" s="4" t="str">
        <x:v>unsupported-absence</x:v>
      </x:c>
      <x:c r="B113" s="4" t="n">
        <x:v>3</x:v>
      </x:c>
      <x:c r="C113" s="4" t="str">
        <x:v>registered_evidence</x:v>
      </x:c>
      <x:c r="D113" s="4" t="str">
        <x:v>PASS</x:v>
      </x:c>
      <x:c r="E113" s="10" t="b">
        <x:v>1</x:v>
      </x:c>
      <x:c r="F113" s="4" t="str">
        <x:v>source IDs registered; factual accuracy/authenticity not established</x:v>
      </x:c>
    </x:row>
    <x:row r="114" ht="60" customHeight="1">
      <x:c r="A114" s="4" t="str">
        <x:v>zero-preserved</x:v>
      </x:c>
      <x:c r="B114" s="4" t="n">
        <x:v>1</x:v>
      </x:c>
      <x:c r="C114" s="4" t="str">
        <x:v>entity</x:v>
      </x:c>
      <x:c r="D114" s="4" t="str">
        <x:v>PASS</x:v>
      </x:c>
      <x:c r="E114" s="10" t="b">
        <x:v>1</x:v>
      </x:c>
      <x:c r="F114" s="4" t="str">
        <x:v>exact match in supplied representations</x:v>
      </x:c>
    </x:row>
    <x:row r="115" ht="60" customHeight="1">
      <x:c r="A115" s="4" t="str">
        <x:v>zero-preserved</x:v>
      </x:c>
      <x:c r="B115" s="4" t="n">
        <x:v>1</x:v>
      </x:c>
      <x:c r="C115" s="4" t="str">
        <x:v>concept</x:v>
      </x:c>
      <x:c r="D115" s="4" t="str">
        <x:v>PASS</x:v>
      </x:c>
      <x:c r="E115" s="10" t="b">
        <x:v>1</x:v>
      </x:c>
      <x:c r="F115" s="4" t="str">
        <x:v>exact match in supplied representations</x:v>
      </x:c>
    </x:row>
    <x:row r="116" ht="60" customHeight="1">
      <x:c r="A116" s="4" t="str">
        <x:v>zero-preserved</x:v>
      </x:c>
      <x:c r="B116" s="4" t="n">
        <x:v>4</x:v>
      </x:c>
      <x:c r="C116" s="4" t="str">
        <x:v>scope_id</x:v>
      </x:c>
      <x:c r="D116" s="4" t="str">
        <x:v>PASS</x:v>
      </x:c>
      <x:c r="E116" s="10" t="b">
        <x:v>1</x:v>
      </x:c>
      <x:c r="F116" s="4" t="str">
        <x:v>exact match in supplied representations</x:v>
      </x:c>
    </x:row>
    <x:row r="117" ht="60" customHeight="1">
      <x:c r="A117" s="4" t="str">
        <x:v>zero-preserved</x:v>
      </x:c>
      <x:c r="B117" s="4" t="n">
        <x:v>2</x:v>
      </x:c>
      <x:c r="C117" s="4" t="str">
        <x:v>population</x:v>
      </x:c>
      <x:c r="D117" s="4" t="str">
        <x:v>PASS</x:v>
      </x:c>
      <x:c r="E117" s="10" t="b">
        <x:v>1</x:v>
      </x:c>
      <x:c r="F117" s="4" t="str">
        <x:v>exact match in supplied representations</x:v>
      </x:c>
    </x:row>
    <x:row r="118" ht="60" customHeight="1">
      <x:c r="A118" s="4" t="str">
        <x:v>zero-preserved</x:v>
      </x:c>
      <x:c r="B118" s="4" t="n">
        <x:v>2</x:v>
      </x:c>
      <x:c r="C118" s="4" t="str">
        <x:v>denominator</x:v>
      </x:c>
      <x:c r="D118" s="4" t="str">
        <x:v>PASS</x:v>
      </x:c>
      <x:c r="E118" s="10" t="b">
        <x:v>1</x:v>
      </x:c>
      <x:c r="F118" s="4" t="str">
        <x:v>exact match in supplied representations</x:v>
      </x:c>
    </x:row>
    <x:row r="119" ht="60" customHeight="1">
      <x:c r="A119" s="4" t="str">
        <x:v>zero-preserved</x:v>
      </x:c>
      <x:c r="B119" s="4" t="n">
        <x:v>2</x:v>
      </x:c>
      <x:c r="C119" s="4" t="str">
        <x:v>granularity</x:v>
      </x:c>
      <x:c r="D119" s="4" t="str">
        <x:v>PASS</x:v>
      </x:c>
      <x:c r="E119" s="10" t="b">
        <x:v>1</x:v>
      </x:c>
      <x:c r="F119" s="4" t="str">
        <x:v>exact match in supplied representations</x:v>
      </x:c>
    </x:row>
    <x:row r="120" ht="60" customHeight="1">
      <x:c r="A120" s="4" t="str">
        <x:v>zero-preserved</x:v>
      </x:c>
      <x:c r="B120" s="4" t="n">
        <x:v>4</x:v>
      </x:c>
      <x:c r="C120" s="4" t="str">
        <x:v>location</x:v>
      </x:c>
      <x:c r="D120" s="4" t="str">
        <x:v>PASS</x:v>
      </x:c>
      <x:c r="E120" s="10" t="b">
        <x:v>1</x:v>
      </x:c>
      <x:c r="F120" s="4" t="str">
        <x:v>exact match in supplied representations</x:v>
      </x:c>
    </x:row>
    <x:row r="121" ht="60" customHeight="1">
      <x:c r="A121" s="4" t="str">
        <x:v>zero-preserved</x:v>
      </x:c>
      <x:c r="B121" s="4" t="n">
        <x:v>4</x:v>
      </x:c>
      <x:c r="C121" s="4" t="str">
        <x:v>definition_version</x:v>
      </x:c>
      <x:c r="D121" s="4" t="str">
        <x:v>PASS</x:v>
      </x:c>
      <x:c r="E121" s="10" t="b">
        <x:v>1</x:v>
      </x:c>
      <x:c r="F121" s="4" t="str">
        <x:v>exact match in supplied representations</x:v>
      </x:c>
    </x:row>
    <x:row r="122" ht="60" customHeight="1">
      <x:c r="A122" s="4" t="str">
        <x:v>zero-preserved</x:v>
      </x:c>
      <x:c r="B122" s="4" t="n">
        <x:v>2</x:v>
      </x:c>
      <x:c r="C122" s="4" t="str">
        <x:v>units</x:v>
      </x:c>
      <x:c r="D122" s="4" t="str">
        <x:v>PASS</x:v>
      </x:c>
      <x:c r="E122" s="10" t="b">
        <x:v>1</x:v>
      </x:c>
      <x:c r="F122" s="4" t="str">
        <x:v>dimensions match; exact registered conversion applied</x:v>
      </x:c>
    </x:row>
    <x:row r="123" ht="60" customHeight="1">
      <x:c r="A123" s="4" t="str">
        <x:v>zero-preserved</x:v>
      </x:c>
      <x:c r="B123" s="4" t="n">
        <x:v>4</x:v>
      </x:c>
      <x:c r="C123" s="4" t="str">
        <x:v>time</x:v>
      </x:c>
      <x:c r="D123" s="4" t="str">
        <x:v>PASS</x:v>
      </x:c>
      <x:c r="E123" s="10" t="b">
        <x:v>1</x:v>
      </x:c>
      <x:c r="F123" s="4" t="str">
        <x:v>same UTC interval; unequal aggregate windows are not interchangeable</x:v>
      </x:c>
    </x:row>
    <x:row r="124" ht="60" customHeight="1">
      <x:c r="A124" s="4" t="str">
        <x:v>zero-preserved</x:v>
      </x:c>
      <x:c r="B124" s="4" t="n">
        <x:v>1</x:v>
      </x:c>
      <x:c r="C124" s="4" t="str">
        <x:v>numeric_meaning</x:v>
      </x:c>
      <x:c r="D124" s="4" t="str">
        <x:v>PASS</x:v>
      </x:c>
      <x:c r="E124" s="10" t="b">
        <x:v>1</x:v>
      </x:c>
      <x:c r="F124" s="4" t="str">
        <x:v>both quantities represented as explicit admissible numeric sets</x:v>
      </x:c>
    </x:row>
    <x:row r="125" ht="60" customHeight="1">
      <x:c r="A125" s="4" t="str">
        <x:v>zero-preserved</x:v>
      </x:c>
      <x:c r="B125" s="4" t="n">
        <x:v>3</x:v>
      </x:c>
      <x:c r="C125" s="4" t="str">
        <x:v>method</x:v>
      </x:c>
      <x:c r="D125" s="4" t="str">
        <x:v>UNKNOWN</x:v>
      </x:c>
      <x:c r="E125" s="10" t="b">
        <x:v>0</x:v>
      </x:c>
      <x:c r="F125" s="4" t="str">
        <x:v>method metadata incomplete</x:v>
      </x:c>
    </x:row>
    <x:row r="126" ht="60" customHeight="1">
      <x:c r="A126" s="4" t="str">
        <x:v>zero-preserved</x:v>
      </x:c>
      <x:c r="B126" s="4" t="n">
        <x:v>5</x:v>
      </x:c>
      <x:c r="C126" s="4" t="str">
        <x:v>dependence</x:v>
      </x:c>
      <x:c r="D126" s="4" t="str">
        <x:v>PASS</x:v>
      </x:c>
      <x:c r="E126" s="10" t="b">
        <x:v>0</x:v>
      </x:c>
      <x:c r="F126" s="4" t="str">
        <x:v>no declared shared roots detected; independence not proven</x:v>
      </x:c>
    </x:row>
    <x:row r="127" ht="60" customHeight="1">
      <x:c r="A127" s="4" t="str">
        <x:v>zero-preserved</x:v>
      </x:c>
      <x:c r="B127" s="4" t="n">
        <x:v>3</x:v>
      </x:c>
      <x:c r="C127" s="4" t="str">
        <x:v>registered_evidence</x:v>
      </x:c>
      <x:c r="D127" s="4" t="str">
        <x:v>PASS</x:v>
      </x:c>
      <x:c r="E127" s="10" t="b">
        <x:v>1</x:v>
      </x:c>
      <x:c r="F127" s="4" t="str">
        <x:v>source IDs registered; factual accuracy/authenticity not established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22" hidden="0" customWidth="1"/>
    <x:col min="12" max="12" width="22" hidden="0" customWidth="1"/>
  </x:cols>
  <x:sheetData>
    <x:row r="1" ht="40" customHeight="1">
      <x:c r="A1" s="6" t="str">
        <x:v>Node ID</x:v>
      </x:c>
      <x:c r="B1" s="6" t="str">
        <x:v>Side</x:v>
      </x:c>
      <x:c r="C1" s="6" t="str">
        <x:v>Order</x:v>
      </x:c>
      <x:c r="D1" s="6" t="str">
        <x:v>Entity</x:v>
      </x:c>
      <x:c r="E1" s="6" t="str">
        <x:v>Concept</x:v>
      </x:c>
      <x:c r="F1" s="6" t="str">
        <x:v>Unit</x:v>
      </x:c>
      <x:c r="G1" s="6" t="str">
        <x:v>Numeric range</x:v>
      </x:c>
      <x:c r="H1" s="6" t="str">
        <x:v>P</x:v>
      </x:c>
      <x:c r="I1" s="6" t="str">
        <x:v>D</x:v>
      </x:c>
      <x:c r="J1" s="6" t="str">
        <x:v>Text</x:v>
      </x:c>
      <x:c r="K1" s="6" t="str">
        <x:v>Sources</x:v>
      </x:c>
      <x:c r="L1" s="6" t="str">
        <x:v>Dependencies</x:v>
      </x:c>
    </x:row>
    <x:row r="2" ht="60" customHeight="1">
      <x:c r="A2" s="4" t="str">
        <x:v>L1-coverage</x:v>
      </x:c>
      <x:c r="B2" s="4" t="str">
        <x:v>L</x:v>
      </x:c>
      <x:c r="C2" s="4" t="n">
        <x:v>1</x:v>
      </x:c>
      <x:c r="D2" s="4" t="str">
        <x:v>SYNTHETIC-SECTOR</x:v>
      </x:c>
      <x:c r="E2" s="4" t="str">
        <x:v>observed_coverage</x:v>
      </x:c>
      <x:c r="F2" s="4" t="str">
        <x:v>%</x:v>
      </x:c>
      <x:c r="G2" s="4" t="str">
        <x:v>{"lower":"100","lower_inclusive":true,"upper":"100","upper_inclusive":true}</x:v>
      </x:c>
      <x:c r="H2" s="4" t="n">
        <x:v>0</x:v>
      </x:c>
      <x:c r="I2" s="4" t="n">
        <x:v>1</x:v>
      </x:c>
      <x:c r="J2" s="4" t="str">
        <x:v>The entire sector was observed.</x:v>
      </x:c>
      <x:c r="K2" s="4" t="str">
        <x:v>generated-summary</x:v>
      </x:c>
      <x:c r="L2" s="4" t="str"/>
    </x:row>
    <x:row r="3" ht="60" customHeight="1">
      <x:c r="A3" s="4" t="str">
        <x:v>L1-detections</x:v>
      </x:c>
      <x:c r="B3" s="4" t="str">
        <x:v>L</x:v>
      </x:c>
      <x:c r="C3" s="4" t="n">
        <x:v>1</x:v>
      </x:c>
      <x:c r="D3" s="4" t="str">
        <x:v>SYNTHETIC-SECTOR</x:v>
      </x:c>
      <x:c r="E3" s="4" t="str">
        <x:v>detected_track_count</x:v>
      </x:c>
      <x:c r="F3" s="4" t="str">
        <x:v>count</x:v>
      </x:c>
      <x:c r="G3" s="4" t="str">
        <x:v>{"lower":"0","lower_inclusive":true,"upper":"0","upper_inclusive":true}</x:v>
      </x:c>
      <x:c r="H3" s="4" t="n">
        <x:v>0</x:v>
      </x:c>
      <x:c r="I3" s="4" t="n">
        <x:v>1</x:v>
      </x:c>
      <x:c r="J3" s="4" t="str">
        <x:v>No tracks were detected.</x:v>
      </x:c>
      <x:c r="K3" s="4" t="str">
        <x:v>generated-summary</x:v>
      </x:c>
      <x:c r="L3" s="4" t="str"/>
    </x:row>
    <x:row r="4" ht="60" customHeight="1">
      <x:c r="A4" s="4" t="str">
        <x:v>L1-presence</x:v>
      </x:c>
      <x:c r="B4" s="4" t="str">
        <x:v>L</x:v>
      </x:c>
      <x:c r="C4" s="4" t="n">
        <x:v>1</x:v>
      </x:c>
      <x:c r="D4" s="4" t="str">
        <x:v>SYNTHETIC-SECTOR</x:v>
      </x:c>
      <x:c r="E4" s="4" t="str">
        <x:v>aircraft_present_count</x:v>
      </x:c>
      <x:c r="F4" s="4" t="str">
        <x:v>count</x:v>
      </x:c>
      <x:c r="G4" s="4" t="str">
        <x:v>{"lower":"0","lower_inclusive":true,"upper":"0","upper_inclusive":true}</x:v>
      </x:c>
      <x:c r="H4" s="4" t="n">
        <x:v>0.1</x:v>
      </x:c>
      <x:c r="I4" s="4" t="n">
        <x:v>0.9</x:v>
      </x:c>
      <x:c r="J4" s="4" t="str">
        <x:v>No aircraft were present.</x:v>
      </x:c>
      <x:c r="K4" s="4" t="str">
        <x:v>generated-summary</x:v>
      </x:c>
      <x:c r="L4" s="4" t="str"/>
    </x:row>
    <x:row r="5" ht="60" customHeight="1">
      <x:c r="A5" s="4" t="str">
        <x:v>L2-confidence</x:v>
      </x:c>
      <x:c r="B5" s="4" t="str">
        <x:v>L</x:v>
      </x:c>
      <x:c r="C5" s="4" t="n">
        <x:v>2</x:v>
      </x:c>
      <x:c r="D5" s="4" t="str">
        <x:v>SYNTHETIC-SECTOR</x:v>
      </x:c>
      <x:c r="E5" s="4" t="str">
        <x:v>validation_hit_rate</x:v>
      </x:c>
      <x:c r="F5" s="4" t="str">
        <x:v>%</x:v>
      </x:c>
      <x:c r="G5" s="4" t="str">
        <x:v>{"lower":"95","lower_inclusive":true,"upper":null,"upper_inclusive":true}</x:v>
      </x:c>
      <x:c r="H5" s="4" t="n">
        <x:v>0.1</x:v>
      </x:c>
      <x:c r="I5" s="4" t="n">
        <x:v>0.9</x:v>
      </x:c>
      <x:c r="J5" s="4" t="str">
        <x:v>At least 95% in the declared validation metric.</x:v>
      </x:c>
      <x:c r="K5" s="4" t="str">
        <x:v>generated-summary</x:v>
      </x:c>
      <x:c r="L5" s="4" t="str"/>
    </x:row>
    <x:row r="6" ht="60" customHeight="1">
      <x:c r="A6" s="4" t="str">
        <x:v>L2-coverage-bound</x:v>
      </x:c>
      <x:c r="B6" s="4" t="str">
        <x:v>L</x:v>
      </x:c>
      <x:c r="C6" s="4" t="n">
        <x:v>2</x:v>
      </x:c>
      <x:c r="D6" s="4" t="str">
        <x:v>SYNTHETIC-SECTOR</x:v>
      </x:c>
      <x:c r="E6" s="4" t="str">
        <x:v>observed_coverage</x:v>
      </x:c>
      <x:c r="F6" s="4" t="str">
        <x:v>%</x:v>
      </x:c>
      <x:c r="G6" s="4" t="str">
        <x:v>{"lower":"50","lower_inclusive":true,"upper":null,"upper_inclusive":true}</x:v>
      </x:c>
      <x:c r="H6" s="4" t="n">
        <x:v>0.1</x:v>
      </x:c>
      <x:c r="I6" s="4" t="n">
        <x:v>0.9</x:v>
      </x:c>
      <x:c r="J6" s="4" t="str">
        <x:v>At least half the sector was observed.</x:v>
      </x:c>
      <x:c r="K6" s="4" t="str">
        <x:v>generated-summary</x:v>
      </x:c>
      <x:c r="L6" s="4" t="str"/>
    </x:row>
    <x:row r="7" ht="60" customHeight="1">
      <x:c r="A7" s="4" t="str">
        <x:v>L3-trial-count</x:v>
      </x:c>
      <x:c r="B7" s="4" t="str">
        <x:v>L</x:v>
      </x:c>
      <x:c r="C7" s="4" t="n">
        <x:v>3</x:v>
      </x:c>
      <x:c r="D7" s="4" t="str">
        <x:v>SYNTHETIC-SECTOR</x:v>
      </x:c>
      <x:c r="E7" s="4" t="str">
        <x:v>validation_case_count</x:v>
      </x:c>
      <x:c r="F7" s="4" t="str">
        <x:v>count</x:v>
      </x:c>
      <x:c r="G7" s="4" t="str">
        <x:v>{"lower":"100","lower_inclusive":true,"upper":"100","upper_inclusive":true}</x:v>
      </x:c>
      <x:c r="H7" s="4" t="n">
        <x:v>0.1</x:v>
      </x:c>
      <x:c r="I7" s="4" t="n">
        <x:v>0.9</x:v>
      </x:c>
      <x:c r="J7" s="4" t="str">
        <x:v>The description is supported by 100 cases.</x:v>
      </x:c>
      <x:c r="K7" s="4" t="str">
        <x:v>synthetic-source</x:v>
      </x:c>
      <x:c r="L7" s="4" t="str"/>
    </x:row>
    <x:row r="8" ht="60" customHeight="1">
      <x:c r="A8" s="4" t="str">
        <x:v>L4-age-limit</x:v>
      </x:c>
      <x:c r="B8" s="4" t="str">
        <x:v>L</x:v>
      </x:c>
      <x:c r="C8" s="4" t="n">
        <x:v>4</x:v>
      </x:c>
      <x:c r="D8" s="4" t="str">
        <x:v>SYNTHETIC-SECTOR</x:v>
      </x:c>
      <x:c r="E8" s="4" t="str">
        <x:v>record_age</x:v>
      </x:c>
      <x:c r="F8" s="4" t="str">
        <x:v>s</x:v>
      </x:c>
      <x:c r="G8" s="4" t="str">
        <x:v>{"lower":"0","lower_inclusive":true,"upper":"30","upper_inclusive":true}</x:v>
      </x:c>
      <x:c r="H8" s="4" t="n">
        <x:v>0.1</x:v>
      </x:c>
      <x:c r="I8" s="4" t="n">
        <x:v>0.9</x:v>
      </x:c>
      <x:c r="J8" s="4" t="str">
        <x:v>The snapshot is at most 30 seconds old.</x:v>
      </x:c>
      <x:c r="K8" s="4" t="str">
        <x:v>synthetic-source</x:v>
      </x:c>
      <x:c r="L8" s="4" t="str"/>
    </x:row>
    <x:row r="9" ht="60" customHeight="1">
      <x:c r="A9" s="4" t="str">
        <x:v>L5-sources</x:v>
      </x:c>
      <x:c r="B9" s="4" t="str">
        <x:v>L</x:v>
      </x:c>
      <x:c r="C9" s="4" t="n">
        <x:v>5</x:v>
      </x:c>
      <x:c r="D9" s="4" t="str">
        <x:v>SYNTHETIC-SECTOR</x:v>
      </x:c>
      <x:c r="E9" s="4" t="str">
        <x:v>independent_source_count</x:v>
      </x:c>
      <x:c r="F9" s="4" t="str">
        <x:v>count</x:v>
      </x:c>
      <x:c r="G9" s="4" t="str">
        <x:v>{"lower":"2","lower_inclusive":true,"upper":"2","upper_inclusive":true}</x:v>
      </x:c>
      <x:c r="H9" s="4" t="n">
        <x:v>0.1</x:v>
      </x:c>
      <x:c r="I9" s="4" t="n">
        <x:v>0.9</x:v>
      </x:c>
      <x:c r="J9" s="4" t="str">
        <x:v>Two independent sources corroborate this.</x:v>
      </x:c>
      <x:c r="K9" s="4" t="str">
        <x:v>synthetic-source</x:v>
      </x:c>
      <x:c r="L9" s="4" t="str"/>
    </x:row>
    <x:row r="10" ht="60" customHeight="1">
      <x:c r="A10" s="4" t="str">
        <x:v>M1-age</x:v>
      </x:c>
      <x:c r="B10" s="4" t="str">
        <x:v>M</x:v>
      </x:c>
      <x:c r="C10" s="4" t="n">
        <x:v>1</x:v>
      </x:c>
      <x:c r="D10" s="4" t="str">
        <x:v>SYNTHETIC-SECTOR</x:v>
      </x:c>
      <x:c r="E10" s="4" t="str">
        <x:v>record_age</x:v>
      </x:c>
      <x:c r="F10" s="4" t="str">
        <x:v>s</x:v>
      </x:c>
      <x:c r="G10" s="4" t="str">
        <x:v>{"lower":"90","lower_inclusive":true,"upper":"90","upper_inclusive":true}</x:v>
      </x:c>
      <x:c r="H10" s="4" t="n">
        <x:v>0.1</x:v>
      </x:c>
      <x:c r="I10" s="4" t="n">
        <x:v>0.9</x:v>
      </x:c>
      <x:c r="J10" s="4" t="str">
        <x:v>Age field is 90 seconds in this fixture.</x:v>
      </x:c>
      <x:c r="K10" s="4" t="str">
        <x:v>synthetic-source</x:v>
      </x:c>
      <x:c r="L10" s="4" t="str"/>
    </x:row>
    <x:row r="11" ht="60" customHeight="1">
      <x:c r="A11" s="4" t="str">
        <x:v>M1-detections</x:v>
      </x:c>
      <x:c r="B11" s="4" t="str">
        <x:v>M</x:v>
      </x:c>
      <x:c r="C11" s="4" t="n">
        <x:v>1</x:v>
      </x:c>
      <x:c r="D11" s="4" t="str">
        <x:v>SYNTHETIC-SECTOR</x:v>
      </x:c>
      <x:c r="E11" s="4" t="str">
        <x:v>detected_track_count</x:v>
      </x:c>
      <x:c r="F11" s="4" t="str">
        <x:v>count</x:v>
      </x:c>
      <x:c r="G11" s="4" t="str">
        <x:v>{"lower":"0","lower_inclusive":true,"upper":"0","upper_inclusive":true}</x:v>
      </x:c>
      <x:c r="H11" s="4" t="n">
        <x:v>0.1</x:v>
      </x:c>
      <x:c r="I11" s="4" t="n">
        <x:v>0.9</x:v>
      </x:c>
      <x:c r="J11" s="4" t="str">
        <x:v>No tracks were detected in this 30-second window.</x:v>
      </x:c>
      <x:c r="K11" s="4" t="str">
        <x:v>synthetic-source</x:v>
      </x:c>
      <x:c r="L11" s="4" t="str"/>
    </x:row>
    <x:row r="12" ht="60" customHeight="1">
      <x:c r="A12" s="4" t="str">
        <x:v>M2-count-interval</x:v>
      </x:c>
      <x:c r="B12" s="4" t="str">
        <x:v>M</x:v>
      </x:c>
      <x:c r="C12" s="4" t="n">
        <x:v>2</x:v>
      </x:c>
      <x:c r="D12" s="4" t="str">
        <x:v>SYNTHETIC-SECTOR</x:v>
      </x:c>
      <x:c r="E12" s="4" t="str">
        <x:v>detected_track_count</x:v>
      </x:c>
      <x:c r="F12" s="4" t="str">
        <x:v>count</x:v>
      </x:c>
      <x:c r="G12" s="4" t="str">
        <x:v>{"lower":"0","lower_inclusive":true,"upper":"1","upper_inclusive":true}</x:v>
      </x:c>
      <x:c r="H12" s="4" t="n">
        <x:v>0.8</x:v>
      </x:c>
      <x:c r="I12" s="4" t="n">
        <x:v>0.9</x:v>
      </x:c>
      <x:c r="J12" s="4" t="str">
        <x:v>Possible count under the declared interval model is between 0 and 1.</x:v>
      </x:c>
      <x:c r="K12" s="4" t="str">
        <x:v>synthetic-source</x:v>
      </x:c>
      <x:c r="L12" s="4" t="str"/>
    </x:row>
    <x:row r="13" ht="60" customHeight="1">
      <x:c r="A13" s="4" t="str">
        <x:v>M3-hit-rate</x:v>
      </x:c>
      <x:c r="B13" s="4" t="str">
        <x:v>M</x:v>
      </x:c>
      <x:c r="C13" s="4" t="n">
        <x:v>3</x:v>
      </x:c>
      <x:c r="D13" s="4" t="str">
        <x:v>SYNTHETIC-SECTOR</x:v>
      </x:c>
      <x:c r="E13" s="4" t="str">
        <x:v>validation_hit_rate</x:v>
      </x:c>
      <x:c r="F13" s="4" t="str">
        <x:v>%</x:v>
      </x:c>
      <x:c r="G13" s="4" t="str">
        <x:v>{"lower":"72","lower_inclusive":true,"upper":"72","upper_inclusive":true}</x:v>
      </x:c>
      <x:c r="H13" s="4" t="n">
        <x:v>0.1</x:v>
      </x:c>
      <x:c r="I13" s="4" t="n">
        <x:v>0.9</x:v>
      </x:c>
      <x:c r="J13" s="4" t="str">
        <x:v>The fixture validation hit rate is 72%.</x:v>
      </x:c>
      <x:c r="K13" s="4" t="str">
        <x:v>synthetic-source</x:v>
      </x:c>
      <x:c r="L13" s="4" t="str"/>
    </x:row>
    <x:row r="14" ht="60" customHeight="1">
      <x:c r="A14" s="4" t="str">
        <x:v>M3-trial-count</x:v>
      </x:c>
      <x:c r="B14" s="4" t="str">
        <x:v>M</x:v>
      </x:c>
      <x:c r="C14" s="4" t="n">
        <x:v>3</x:v>
      </x:c>
      <x:c r="D14" s="4" t="str">
        <x:v>SYNTHETIC-SECTOR</x:v>
      </x:c>
      <x:c r="E14" s="4" t="str">
        <x:v>validation_case_count</x:v>
      </x:c>
      <x:c r="F14" s="4" t="str">
        <x:v>count</x:v>
      </x:c>
      <x:c r="G14" s="4" t="str">
        <x:v>{"lower":"100","lower_inclusive":true,"upper":"100","upper_inclusive":true}</x:v>
      </x:c>
      <x:c r="H14" s="4" t="n">
        <x:v>0.1</x:v>
      </x:c>
      <x:c r="I14" s="4" t="n">
        <x:v>0.9</x:v>
      </x:c>
      <x:c r="J14" s="4" t="str">
        <x:v>100 fixture validation cases.</x:v>
      </x:c>
      <x:c r="K14" s="4" t="str">
        <x:v>synthetic-source</x:v>
      </x:c>
      <x:c r="L14" s="4" t="str"/>
    </x:row>
    <x:row r="15" ht="60" customHeight="1">
      <x:c r="A15" s="4" t="str">
        <x:v>M4-coverage</x:v>
      </x:c>
      <x:c r="B15" s="4" t="str">
        <x:v>M</x:v>
      </x:c>
      <x:c r="C15" s="4" t="n">
        <x:v>4</x:v>
      </x:c>
      <x:c r="D15" s="4" t="str">
        <x:v>SYNTHETIC-SECTOR</x:v>
      </x:c>
      <x:c r="E15" s="4" t="str">
        <x:v>observed_coverage</x:v>
      </x:c>
      <x:c r="F15" s="4" t="str">
        <x:v>%</x:v>
      </x:c>
      <x:c r="G15" s="4" t="str">
        <x:v>{"lower":"60","lower_inclusive":true,"upper":"60","upper_inclusive":true}</x:v>
      </x:c>
      <x:c r="H15" s="4" t="n">
        <x:v>0.1</x:v>
      </x:c>
      <x:c r="I15" s="4" t="n">
        <x:v>0.9</x:v>
      </x:c>
      <x:c r="J15" s="4" t="str">
        <x:v>Sensor coverage was 60%.</x:v>
      </x:c>
      <x:c r="K15" s="4" t="str">
        <x:v>synthetic-source</x:v>
      </x:c>
      <x:c r="L15" s="4" t="str"/>
    </x:row>
    <x:row r="16" ht="60" customHeight="1">
      <x:c r="A16" s="4" t="str">
        <x:v>M5-source-count</x:v>
      </x:c>
      <x:c r="B16" s="4" t="str">
        <x:v>M</x:v>
      </x:c>
      <x:c r="C16" s="4" t="n">
        <x:v>5</x:v>
      </x:c>
      <x:c r="D16" s="4" t="str">
        <x:v>SYNTHETIC-SECTOR</x:v>
      </x:c>
      <x:c r="E16" s="4" t="str">
        <x:v>independent_source_count</x:v>
      </x:c>
      <x:c r="F16" s="4" t="str">
        <x:v>count</x:v>
      </x:c>
      <x:c r="G16" s="4" t="str">
        <x:v>{"lower":"1","lower_inclusive":true,"upper":"1","upper_inclusive":true}</x:v>
      </x:c>
      <x:c r="H16" s="4" t="n">
        <x:v>0.1</x:v>
      </x:c>
      <x:c r="I16" s="4" t="n">
        <x:v>0.9</x:v>
      </x:c>
      <x:c r="J16" s="4" t="str">
        <x:v>Two displays trace to one declared source root.</x:v>
      </x:c>
      <x:c r="K16" s="4" t="str">
        <x:v>synthetic-source</x:v>
      </x:c>
      <x:c r="L16" s="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0" customHeight="1">
      <x:c r="A1" s="6" t="str">
        <x:v>Node ID</x:v>
      </x:c>
      <x:c r="B1" s="6" t="str">
        <x:v>Factor</x:v>
      </x:c>
      <x:c r="C1" s="6" t="str">
        <x:v>Order</x:v>
      </x:c>
      <x:c r="D1" s="6" t="str">
        <x:v>Value</x:v>
      </x:c>
      <x:c r="E1" s="6" t="str">
        <x:v>Basis</x:v>
      </x:c>
      <x:c r="F1" s="6" t="str">
        <x:v>Source</x:v>
      </x:c>
      <x:c r="G1" s="6" t="str">
        <x:v>Dependence group</x:v>
      </x:c>
      <x:c r="H1" s="6" t="str">
        <x:v>Kind</x:v>
      </x:c>
    </x:row>
    <x:row r="2" ht="60" customHeight="1">
      <x:c r="A2" s="4" t="str">
        <x:v>L1-coverage</x:v>
      </x:c>
      <x:c r="B2" s="4" t="str">
        <x:v>representation_support</x:v>
      </x:c>
      <x:c r="C2" s="4" t="n">
        <x:v>2</x:v>
      </x:c>
      <x:c r="D2" s="4" t="n">
        <x:v>1</x:v>
      </x:c>
      <x:c r="E2" s="4" t="str">
        <x:v>synthetic demonstration coefficient; not an empirical probability</x:v>
      </x:c>
      <x:c r="F2" s="4"/>
      <x:c r="G2" s="4"/>
      <x:c r="H2" s="4" t="str">
        <x:v>assumed</x:v>
      </x:c>
    </x:row>
    <x:row r="3" ht="60" customHeight="1">
      <x:c r="A3" s="4" t="str">
        <x:v>L1-detections</x:v>
      </x:c>
      <x:c r="B3" s="4" t="str">
        <x:v>representation_support</x:v>
      </x:c>
      <x:c r="C3" s="4" t="n">
        <x:v>2</x:v>
      </x:c>
      <x:c r="D3" s="4" t="n">
        <x:v>0.99</x:v>
      </x:c>
      <x:c r="E3" s="4" t="str">
        <x:v>synthetic demonstration coefficient; not an empirical probability</x:v>
      </x:c>
      <x:c r="F3" s="4"/>
      <x:c r="G3" s="4"/>
      <x:c r="H3" s="4" t="str">
        <x:v>assumed</x:v>
      </x:c>
    </x:row>
    <x:row r="4" ht="60" customHeight="1">
      <x:c r="A4" s="4" t="str">
        <x:v>L1-presence</x:v>
      </x:c>
      <x:c r="B4" s="4" t="str">
        <x:v>representation_support</x:v>
      </x:c>
      <x:c r="C4" s="4" t="n">
        <x:v>2</x:v>
      </x:c>
      <x:c r="D4" s="4" t="n">
        <x:v>0.95</x:v>
      </x:c>
      <x:c r="E4" s="4" t="str">
        <x:v>synthetic demonstration coefficient; not an empirical probability</x:v>
      </x:c>
      <x:c r="F4" s="4"/>
      <x:c r="G4" s="4"/>
      <x:c r="H4" s="4" t="str">
        <x:v>assumed</x:v>
      </x:c>
    </x:row>
    <x:row r="5" ht="60" customHeight="1">
      <x:c r="A5" s="4" t="str">
        <x:v>L2-confidence</x:v>
      </x:c>
      <x:c r="B5" s="4" t="str">
        <x:v>representation_support</x:v>
      </x:c>
      <x:c r="C5" s="4" t="n">
        <x:v>2</x:v>
      </x:c>
      <x:c r="D5" s="4" t="n">
        <x:v>0.95</x:v>
      </x:c>
      <x:c r="E5" s="4" t="str">
        <x:v>synthetic demonstration coefficient; not an empirical probability</x:v>
      </x:c>
      <x:c r="F5" s="4"/>
      <x:c r="G5" s="4"/>
      <x:c r="H5" s="4" t="str">
        <x:v>assumed</x:v>
      </x:c>
    </x:row>
    <x:row r="6" ht="60" customHeight="1">
      <x:c r="A6" s="4" t="str">
        <x:v>L2-coverage-bound</x:v>
      </x:c>
      <x:c r="B6" s="4" t="str">
        <x:v>representation_support</x:v>
      </x:c>
      <x:c r="C6" s="4" t="n">
        <x:v>2</x:v>
      </x:c>
      <x:c r="D6" s="4" t="n">
        <x:v>1</x:v>
      </x:c>
      <x:c r="E6" s="4" t="str">
        <x:v>synthetic demonstration coefficient; not an empirical probability</x:v>
      </x:c>
      <x:c r="F6" s="4"/>
      <x:c r="G6" s="4"/>
      <x:c r="H6" s="4" t="str">
        <x:v>assumed</x:v>
      </x:c>
    </x:row>
    <x:row r="7" ht="60" customHeight="1">
      <x:c r="A7" s="4" t="str">
        <x:v>L3-trial-count</x:v>
      </x:c>
      <x:c r="B7" s="4" t="str">
        <x:v>representation_support</x:v>
      </x:c>
      <x:c r="C7" s="4" t="n">
        <x:v>2</x:v>
      </x:c>
      <x:c r="D7" s="4" t="n">
        <x:v>1</x:v>
      </x:c>
      <x:c r="E7" s="4" t="str">
        <x:v>synthetic demonstration coefficient; not an empirical probability</x:v>
      </x:c>
      <x:c r="F7" s="4"/>
      <x:c r="G7" s="4"/>
      <x:c r="H7" s="4" t="str">
        <x:v>assumed</x:v>
      </x:c>
    </x:row>
    <x:row r="8" ht="60" customHeight="1">
      <x:c r="A8" s="4" t="str">
        <x:v>L4-age-limit</x:v>
      </x:c>
      <x:c r="B8" s="4" t="str">
        <x:v>representation_support</x:v>
      </x:c>
      <x:c r="C8" s="4" t="n">
        <x:v>2</x:v>
      </x:c>
      <x:c r="D8" s="4" t="n">
        <x:v>1</x:v>
      </x:c>
      <x:c r="E8" s="4" t="str">
        <x:v>synthetic demonstration coefficient; not an empirical probability</x:v>
      </x:c>
      <x:c r="F8" s="4"/>
      <x:c r="G8" s="4"/>
      <x:c r="H8" s="4" t="str">
        <x:v>assumed</x:v>
      </x:c>
    </x:row>
    <x:row r="9" ht="60" customHeight="1">
      <x:c r="A9" s="4" t="str">
        <x:v>L5-sources</x:v>
      </x:c>
      <x:c r="B9" s="4" t="str">
        <x:v>representation_support</x:v>
      </x:c>
      <x:c r="C9" s="4" t="n">
        <x:v>2</x:v>
      </x:c>
      <x:c r="D9" s="4" t="n">
        <x:v>1</x:v>
      </x:c>
      <x:c r="E9" s="4" t="str">
        <x:v>synthetic demonstration coefficient; not an empirical probability</x:v>
      </x:c>
      <x:c r="F9" s="4"/>
      <x:c r="G9" s="4"/>
      <x:c r="H9" s="4" t="str">
        <x:v>assumed</x:v>
      </x:c>
    </x:row>
    <x:row r="10" ht="60" customHeight="1">
      <x:c r="A10" s="4" t="str">
        <x:v>M1-age</x:v>
      </x:c>
      <x:c r="B10" s="4" t="str">
        <x:v>representation_support</x:v>
      </x:c>
      <x:c r="C10" s="4" t="n">
        <x:v>2</x:v>
      </x:c>
      <x:c r="D10" s="4" t="n">
        <x:v>1</x:v>
      </x:c>
      <x:c r="E10" s="4" t="str">
        <x:v>synthetic demonstration coefficient; not an empirical probability</x:v>
      </x:c>
      <x:c r="F10" s="4"/>
      <x:c r="G10" s="4"/>
      <x:c r="H10" s="4" t="str">
        <x:v>assumed</x:v>
      </x:c>
    </x:row>
    <x:row r="11" ht="60" customHeight="1">
      <x:c r="A11" s="4" t="str">
        <x:v>M1-detections</x:v>
      </x:c>
      <x:c r="B11" s="4" t="str">
        <x:v>representation_support</x:v>
      </x:c>
      <x:c r="C11" s="4" t="n">
        <x:v>2</x:v>
      </x:c>
      <x:c r="D11" s="4" t="n">
        <x:v>0.99</x:v>
      </x:c>
      <x:c r="E11" s="4" t="str">
        <x:v>synthetic demonstration coefficient; not an empirical probability</x:v>
      </x:c>
      <x:c r="F11" s="4"/>
      <x:c r="G11" s="4"/>
      <x:c r="H11" s="4" t="str">
        <x:v>assumed</x:v>
      </x:c>
    </x:row>
    <x:row r="12" ht="60" customHeight="1">
      <x:c r="A12" s="4" t="str">
        <x:v>M2-count-interval</x:v>
      </x:c>
      <x:c r="B12" s="4" t="str">
        <x:v>representation_support</x:v>
      </x:c>
      <x:c r="C12" s="4" t="n">
        <x:v>2</x:v>
      </x:c>
      <x:c r="D12" s="4" t="n">
        <x:v>0.42</x:v>
      </x:c>
      <x:c r="E12" s="4" t="str">
        <x:v>synthetic demonstration coefficient; not an empirical probability</x:v>
      </x:c>
      <x:c r="F12" s="4"/>
      <x:c r="G12" s="4"/>
      <x:c r="H12" s="4" t="str">
        <x:v>assumed</x:v>
      </x:c>
    </x:row>
    <x:row r="13" ht="60" customHeight="1">
      <x:c r="A13" s="4" t="str">
        <x:v>M3-hit-rate</x:v>
      </x:c>
      <x:c r="B13" s="4" t="str">
        <x:v>representation_support</x:v>
      </x:c>
      <x:c r="C13" s="4" t="n">
        <x:v>2</x:v>
      </x:c>
      <x:c r="D13" s="4" t="n">
        <x:v>0.9</x:v>
      </x:c>
      <x:c r="E13" s="4" t="str">
        <x:v>synthetic demonstration coefficient; not an empirical probability</x:v>
      </x:c>
      <x:c r="F13" s="4"/>
      <x:c r="G13" s="4"/>
      <x:c r="H13" s="4" t="str">
        <x:v>assumed</x:v>
      </x:c>
    </x:row>
    <x:row r="14" ht="60" customHeight="1">
      <x:c r="A14" s="4" t="str">
        <x:v>M3-trial-count</x:v>
      </x:c>
      <x:c r="B14" s="4" t="str">
        <x:v>representation_support</x:v>
      </x:c>
      <x:c r="C14" s="4" t="n">
        <x:v>2</x:v>
      </x:c>
      <x:c r="D14" s="4" t="n">
        <x:v>1</x:v>
      </x:c>
      <x:c r="E14" s="4" t="str">
        <x:v>synthetic demonstration coefficient; not an empirical probability</x:v>
      </x:c>
      <x:c r="F14" s="4"/>
      <x:c r="G14" s="4"/>
      <x:c r="H14" s="4" t="str">
        <x:v>assumed</x:v>
      </x:c>
    </x:row>
    <x:row r="15" ht="60" customHeight="1">
      <x:c r="A15" s="4" t="str">
        <x:v>M4-coverage</x:v>
      </x:c>
      <x:c r="B15" s="4" t="str">
        <x:v>representation_support</x:v>
      </x:c>
      <x:c r="C15" s="4" t="n">
        <x:v>2</x:v>
      </x:c>
      <x:c r="D15" s="4" t="n">
        <x:v>0.98</x:v>
      </x:c>
      <x:c r="E15" s="4" t="str">
        <x:v>synthetic demonstration coefficient; not an empirical probability</x:v>
      </x:c>
      <x:c r="F15" s="4"/>
      <x:c r="G15" s="4"/>
      <x:c r="H15" s="4" t="str">
        <x:v>assumed</x:v>
      </x:c>
    </x:row>
    <x:row r="16" ht="60" customHeight="1">
      <x:c r="A16" s="4" t="str">
        <x:v>M5-source-count</x:v>
      </x:c>
      <x:c r="B16" s="4" t="str">
        <x:v>representation_support</x:v>
      </x:c>
      <x:c r="C16" s="4" t="n">
        <x:v>2</x:v>
      </x:c>
      <x:c r="D16" s="4" t="n">
        <x:v>1</x:v>
      </x:c>
      <x:c r="E16" s="4" t="str">
        <x:v>synthetic demonstration coefficient; not an empirical probability</x:v>
      </x:c>
      <x:c r="F16" s="4"/>
      <x:c r="G16" s="4"/>
      <x:c r="H16" s="4" t="str">
        <x:v>assumed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17" t="str">
        <x:v>Source ID</x:v>
      </x:c>
      <x:c r="B1" s="17" t="str">
        <x:v>SHA-256</x:v>
      </x:c>
      <x:c r="C1" s="17" t="str">
        <x:v>Locator</x:v>
      </x:c>
      <x:c r="D1" s="17" t="str">
        <x:v>Basis</x:v>
      </x:c>
      <x:c r="E1" s="17" t="str">
        <x:v>Parents</x:v>
      </x:c>
    </x:row>
    <x:row r="2" ht="44" customHeight="1">
      <x:c r="A2" s="4" t="str">
        <x:v>generated-summary</x:v>
      </x:c>
      <x:c r="B2" s="4"/>
      <x:c r="C2" s="4"/>
      <x:c r="D2" s="4" t="str">
        <x:v>synthetic fixture source reference, not real operational evidence</x:v>
      </x:c>
      <x:c r="E2" s="4" t="str"/>
    </x:row>
    <x:row r="3" ht="44" customHeight="1">
      <x:c r="A3" s="4" t="str">
        <x:v>synthetic-source</x:v>
      </x:c>
      <x:c r="B3" s="4"/>
      <x:c r="C3" s="4"/>
      <x:c r="D3" s="4" t="str">
        <x:v>synthetic fixture source reference, not real operational evidence</x:v>
      </x:c>
      <x:c r="E3" s="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17" t="str">
        <x:v>Node ID</x:v>
      </x:c>
      <x:c r="B1" s="17" t="str">
        <x:v>Source ID</x:v>
      </x:c>
      <x:c r="C1" s="17" t="str">
        <x:v>Locator</x:v>
      </x:c>
      <x:c r="D1" s="17" t="str">
        <x:v>Status</x:v>
      </x:c>
      <x:c r="E1" s="17" t="str">
        <x:v>Warnings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0" hidden="0" customWidth="1"/>
  </x:cols>
  <x:sheetData>
    <x:row r="1" ht="32" customHeight="1">
      <x:c r="A1" s="17" t="str">
        <x:v>Finding ID</x:v>
      </x:c>
      <x:c r="B1" s="17" t="str">
        <x:v>Category</x:v>
      </x:c>
      <x:c r="C1" s="17" t="str">
        <x:v>Pair ID</x:v>
      </x:c>
      <x:c r="D1" s="17" t="str">
        <x:v>Reason</x:v>
      </x:c>
    </x:row>
    <x:row r="2" ht="44" customHeight="1">
      <x:c r="A2" s="4" t="str">
        <x:v>finding:confidence-overclaim</x:v>
      </x:c>
      <x:c r="B2" s="4" t="str">
        <x:v>REVIEW_DISCREPANCY</x:v>
      </x:c>
      <x:c r="C2" s="4" t="str">
        <x:v>confidence-overclaim</x:v>
      </x:c>
      <x:c r="D2" s="4" t="str">
        <x:v>Comparable representations have disjoint admissible values; inspect both sources.</x:v>
      </x:c>
    </x:row>
    <x:row r="3" ht="44" customHeight="1">
      <x:c r="A3" s="4" t="str">
        <x:v>finding:coverage-overclaim</x:v>
      </x:c>
      <x:c r="B3" s="4" t="str">
        <x:v>REVIEW_DISCREPANCY</x:v>
      </x:c>
      <x:c r="C3" s="4" t="str">
        <x:v>coverage-overclaim</x:v>
      </x:c>
      <x:c r="D3" s="4" t="str">
        <x:v>Comparable representations have disjoint admissible values; inspect both sources.</x:v>
      </x:c>
    </x:row>
    <x:row r="4" ht="44" customHeight="1">
      <x:c r="A4" s="4" t="str">
        <x:v>finding:dependence-overclaim</x:v>
      </x:c>
      <x:c r="B4" s="4" t="str">
        <x:v>REVIEW_DISCREPANCY</x:v>
      </x:c>
      <x:c r="C4" s="4" t="str">
        <x:v>dependence-overclaim</x:v>
      </x:c>
      <x:c r="D4" s="4" t="str">
        <x:v>Comparable representations have disjoint admissible values; inspect both sources.</x:v>
      </x:c>
    </x:row>
    <x:row r="5" ht="44" customHeight="1">
      <x:c r="A5" s="4" t="str">
        <x:v>finding:freshness-claim</x:v>
      </x:c>
      <x:c r="B5" s="4" t="str">
        <x:v>REVIEW_DISCREPANCY</x:v>
      </x:c>
      <x:c r="C5" s="4" t="str">
        <x:v>freshness-claim</x:v>
      </x:c>
      <x:c r="D5" s="4" t="str">
        <x:v>Comparable representations have disjoint admissible values; inspect both sources.</x:v>
      </x:c>
    </x:row>
    <x:row r="6" ht="44" customHeight="1">
      <x:c r="A6" s="4" t="str">
        <x:v>finding:uncertain-count</x:v>
      </x:c>
      <x:c r="B6" s="4" t="str">
        <x:v>RESOLVE_OVERLAP</x:v>
      </x:c>
      <x:c r="C6" s="4" t="str">
        <x:v>uncertain-count</x:v>
      </x:c>
      <x:c r="D6" s="4" t="str">
        <x:v>The observation allows both satisfying and nonsatisfying cases; obtain tighter evidence.</x:v>
      </x:c>
    </x:row>
    <x:row r="7" ht="44" customHeight="1">
      <x:c r="A7" s="4" t="str">
        <x:v>finding:unsupported-absence</x:v>
      </x:c>
      <x:c r="B7" s="4" t="str">
        <x:v>REPAIR_PAIRING</x:v>
      </x:c>
      <x:c r="C7" s="4" t="str">
        <x:v>unsupported-absence</x:v>
      </x:c>
      <x:c r="D7" s="4" t="str">
        <x:v>Revise the pairing contract or provide a justified inference bridge; do not call this numerical agreement.</x:v>
      </x:c>
    </x:row>
    <x:row r="8" ht="44" customHeight="1">
      <x:c r="A8" s="4" t="str">
        <x:v>codec:SUMMARY-TRANSFORM</x:v>
      </x:c>
      <x:c r="B8" s="4" t="str">
        <x:v>REVIEW_TRANSFORMATION</x:v>
      </x:c>
      <x:c r="C8" s="4"/>
      <x:c r="D8" s="4" t="str">
        <x:v>Material meaning, scope, uncertainty or support was not shown to be preserved.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2" customHeight="1">
      <x:c r="A1" s="17" t="str">
        <x:v>Stage</x:v>
      </x:c>
      <x:c r="B1" s="17" t="str">
        <x:v>Execution detail</x:v>
      </x:c>
    </x:row>
    <x:row r="2" ht="44" customHeight="1">
      <x:c r="A2" s="4" t="str">
        <x:v>INPUT</x:v>
      </x:c>
      <x:c r="B2" s="4" t="str">
        <x:v>{"parsed_records":0,"sources":0}</x:v>
      </x:c>
    </x:row>
    <x:row r="3" ht="44" customHeight="1">
      <x:c r="A3" s="4" t="str">
        <x:v>INGEST</x:v>
      </x:c>
      <x:c r="B3" s="4" t="str">
        <x:v>{"evidence_sources":2,"warnings":0}</x:v>
      </x:c>
    </x:row>
    <x:row r="4" ht="44" customHeight="1">
      <x:c r="A4" s="4" t="str">
        <x:v>REPRESENT</x:v>
      </x:c>
      <x:c r="B4" s="4" t="str">
        <x:v>{"nodes":15,"unresolved_numeric_meanings":0}</x:v>
      </x:c>
    </x:row>
    <x:row r="5" ht="44" customHeight="1">
      <x:c r="A5" s="4" t="str">
        <x:v>PAIR</x:v>
      </x:c>
      <x:c r="B5" s="4" t="str">
        <x:v>{"candidates":0,"deferred":0,"selected_pairs":9}</x:v>
      </x:c>
    </x:row>
    <x:row r="6" ht="44" customHeight="1">
      <x:c r="A6" s="4" t="str">
        <x:v>EVALUATE</x:v>
      </x:c>
      <x:c r="B6" s="4" t="str">
        <x:v>{"evaluated_pairs":9,"status":"CONFLICT"}</x:v>
      </x:c>
    </x:row>
    <x:row r="7" ht="44" customHeight="1">
      <x:c r="A7" s="4" t="str">
        <x:v>AGGREGATE</x:v>
      </x:c>
      <x:c r="B7" s="4" t="str">
        <x:v>{"codec_audits":1,"groups":3}</x:v>
      </x:c>
    </x:row>
    <x:row r="8" ht="44" customHeight="1">
      <x:c r="A8" s="4" t="str">
        <x:v>OUTPUT</x:v>
      </x:c>
      <x:c r="B8" s="4" t="str">
        <x:v>{"automatic_actions":0,"review_findings":7}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A1" s="17" t="str">
        <x:v>Candidate</x:v>
      </x:c>
      <x:c r="B1" s="17" t="str">
        <x:v>Left</x:v>
      </x:c>
      <x:c r="C1" s="17" t="str">
        <x:v>Right</x:v>
      </x:c>
      <x:c r="D1" s="17" t="str">
        <x:v>State</x:v>
      </x:c>
      <x:c r="E1" s="17" t="str">
        <x:v>Ambiguous</x:v>
      </x:c>
      <x:c r="F1" s="17" t="str">
        <x:v>Metadata coverage</x:v>
      </x:c>
      <x:c r="G1" s="17" t="str">
        <x:v>Pending</x:v>
      </x:c>
      <x:c r="H1" s="17" t="str">
        <x:v>Rejected</x:v>
      </x:c>
    </x:row>
  </x:sheetData>
  <x:pageMargins left="0.7" right="0.7" top="0.75" bottom="0.75" header="0.3" footer="0.3"/>
</x:worksheet>
</file>