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79b1114f5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4aacf01c1fb54794"/>
    <x:sheet xmlns:r="http://schemas.openxmlformats.org/officeDocument/2006/relationships" name="Dashboard" sheetId="2" r:id="R4b03beacc07940e7"/>
    <x:sheet xmlns:r="http://schemas.openxmlformats.org/officeDocument/2006/relationships" name="Episodes" sheetId="3" r:id="Ra1db6342b333487c"/>
    <x:sheet xmlns:r="http://schemas.openxmlformats.org/officeDocument/2006/relationships" name="C" sheetId="4" r:id="R63e021eb85af4ba4"/>
    <x:sheet xmlns:r="http://schemas.openxmlformats.org/officeDocument/2006/relationships" name="E" sheetId="5" r:id="Ra72a657b3fdb48d7"/>
    <x:sheet xmlns:r="http://schemas.openxmlformats.org/officeDocument/2006/relationships" name="R" sheetId="6" r:id="R2977c93d09b842ee"/>
    <x:sheet xmlns:r="http://schemas.openxmlformats.org/officeDocument/2006/relationships" name="P" sheetId="7" r:id="R5c4c565154494f68"/>
    <x:sheet xmlns:r="http://schemas.openxmlformats.org/officeDocument/2006/relationships" name="A" sheetId="8" r:id="R4998e15987b54cb9"/>
    <x:sheet xmlns:r="http://schemas.openxmlformats.org/officeDocument/2006/relationships" name="Assessment" sheetId="9" r:id="Rccb185d24fec4aae"/>
    <x:sheet xmlns:r="http://schemas.openxmlformats.org/officeDocument/2006/relationships" name="Outcomes" sheetId="10" r:id="Ra853af363b024fb3"/>
    <x:sheet xmlns:r="http://schemas.openxmlformats.org/officeDocument/2006/relationships" name="Memory" sheetId="11" r:id="R165b6bde61c34e75"/>
    <x:sheet xmlns:r="http://schemas.openxmlformats.org/officeDocument/2006/relationships" name="Pilot" sheetId="12" r:id="R0af5652d87db45e2"/>
    <x:sheet xmlns:r="http://schemas.openxmlformats.org/officeDocument/2006/relationships" name="Demo" sheetId="13" r:id="R27a5726398ec4d71"/>
    <x:sheet xmlns:r="http://schemas.openxmlformats.org/officeDocument/2006/relationships" name="Sources" sheetId="14" r:id="R79d353a5fb70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0"/>
  </x:numFmts>
  <x:fonts count="8">
    <x:font>
      <x:sz val="11"/>
      <x:name val="Carlito"/>
    </x:font>
    <x:font>
      <x:sz val="11"/>
      <x:name val="Calibri"/>
    </x:font>
    <x:font>
      <x:sz val="10"/>
      <x:name val="Calibri"/>
    </x:font>
    <x:font>
      <x:sz val="10"/>
      <x:color rgb="FF17201A"/>
      <x:name val="Calibri"/>
    </x:font>
    <x:font>
      <x:b/>
      <x:sz val="18"/>
      <x:color rgb="FFFFFFFF"/>
      <x:name val="Calibri"/>
    </x:font>
    <x:font>
      <x:sz val="10"/>
      <x:color rgb="FF56635A"/>
      <x:name val="Calibri"/>
    </x:font>
    <x:font>
      <x:b/>
      <x:sz val="10"/>
      <x:color rgb="FFFFFFFF"/>
      <x:name val="Calibri"/>
    </x:font>
    <x:font>
      <x:b/>
      <x:sz val="10"/>
      <x:color rgb="FF17201A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43B2B"/>
      </x:patternFill>
    </x:fill>
    <x:fill>
      <x:patternFill patternType="solid">
        <x:fgColor rgb="FFEDF2ED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2" fontId="3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200" fontId="7" fillId="3" borderId="0" xfId="0" applyNumberFormat="1" applyFont="1" applyFill="1" applyBorder="1" applyAlignment="1">
      <x:alignment vertical="top" wrapText="1"/>
    </x:xf>
    <x:xf numFmtId="200" fontId="7" fillId="3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CE6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9c3ee690c4168" /><Relationship Type="http://schemas.openxmlformats.org/officeDocument/2006/relationships/theme" Target="/xl/theme/theme1.xml" Id="R22bb0da83fb84fca" /><Relationship Type="http://schemas.openxmlformats.org/officeDocument/2006/relationships/sharedStrings" Target="/xl/sharedStrings.xml" Id="R5c9576f329394ab0" /><Relationship Type="http://schemas.openxmlformats.org/officeDocument/2006/relationships/worksheet" Target="/xl/worksheets/sheet1.xml" Id="R4aacf01c1fb54794" /><Relationship Type="http://schemas.openxmlformats.org/officeDocument/2006/relationships/worksheet" Target="/xl/worksheets/sheet2.xml" Id="R4b03beacc07940e7" /><Relationship Type="http://schemas.openxmlformats.org/officeDocument/2006/relationships/worksheet" Target="/xl/worksheets/sheet3.xml" Id="Ra1db6342b333487c" /><Relationship Type="http://schemas.openxmlformats.org/officeDocument/2006/relationships/worksheet" Target="/xl/worksheets/sheet4.xml" Id="R63e021eb85af4ba4" /><Relationship Type="http://schemas.openxmlformats.org/officeDocument/2006/relationships/worksheet" Target="/xl/worksheets/sheet5.xml" Id="Ra72a657b3fdb48d7" /><Relationship Type="http://schemas.openxmlformats.org/officeDocument/2006/relationships/worksheet" Target="/xl/worksheets/sheet6.xml" Id="R2977c93d09b842ee" /><Relationship Type="http://schemas.openxmlformats.org/officeDocument/2006/relationships/worksheet" Target="/xl/worksheets/sheet7.xml" Id="R5c4c565154494f68" /><Relationship Type="http://schemas.openxmlformats.org/officeDocument/2006/relationships/worksheet" Target="/xl/worksheets/sheet8.xml" Id="R4998e15987b54cb9" /><Relationship Type="http://schemas.openxmlformats.org/officeDocument/2006/relationships/worksheet" Target="/xl/worksheets/sheet9.xml" Id="Rccb185d24fec4aae" /><Relationship Type="http://schemas.openxmlformats.org/officeDocument/2006/relationships/worksheet" Target="/xl/worksheets/sheet10.xml" Id="Ra853af363b024fb3" /><Relationship Type="http://schemas.openxmlformats.org/officeDocument/2006/relationships/worksheet" Target="/xl/worksheets/sheet11.xml" Id="R165b6bde61c34e75" /><Relationship Type="http://schemas.openxmlformats.org/officeDocument/2006/relationships/worksheet" Target="/xl/worksheets/sheet12.xml" Id="R0af5652d87db45e2" /><Relationship Type="http://schemas.openxmlformats.org/officeDocument/2006/relationships/worksheet" Target="/xl/worksheets/sheet13.xml" Id="R27a5726398ec4d71" /><Relationship Type="http://schemas.openxmlformats.org/officeDocument/2006/relationships/worksheet" Target="/xl/worksheets/sheet14.xml" Id="R79d353a5fb704c4e" /></Relationships>
</file>

<file path=xl/tables/table1.xml><?xml version="1.0" encoding="utf-8"?>
<x:table xmlns:x="http://schemas.openxmlformats.org/spreadsheetml/2006/main" id="1" name="tblEpisodes" displayName="tblEpisodes" ref="A4:Q104" headerRowCount="1" totalsRowCount="0" totalsRowShown="0">
  <x:tableColumns count="17">
    <x:tableColumn id="1" name="Episode_ID"/>
    <x:tableColumn id="2" name="Learner_ID"/>
    <x:tableColumn id="3" name="Owner_Role"/>
    <x:tableColumn id="4" name="Objective"/>
    <x:tableColumn id="5" name="Model_ID"/>
    <x:tableColumn id="6" name="Model_Version"/>
    <x:tableColumn id="7" name="Scope"/>
    <x:tableColumn id="8" name="Resolution"/>
    <x:tableColumn id="9" name="Horizon"/>
    <x:tableColumn id="10" name="Reliability_Basis"/>
    <x:tableColumn id="11" name="Reobserve_Trigger"/>
    <x:tableColumn id="12" name="Independent_Artifact"/>
    <x:tableColumn id="13" name="Assisted_Artifact"/>
    <x:tableColumn id="14" name="Status"/>
    <x:tableColumn id="15" name="Record_Type"/>
    <x:tableColumn id="16" name="Recorded_At_UTC"/>
    <x:tableColumn id="17" name="Readi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" displayName="tblC" ref="A4:N104" headerRowCount="1" totalsRowCount="0" totalsRowShown="0">
  <x:tableColumns count="14">
    <x:tableColumn id="1" name="Claim_ID"/>
    <x:tableColumn id="2" name="Episode_ID"/>
    <x:tableColumn id="3" name="Version"/>
    <x:tableColumn id="4" name="Proposition"/>
    <x:tableColumn id="5" name="Principles"/>
    <x:tableColumn id="6" name="Assumptions"/>
    <x:tableColumn id="7" name="Model_Ref"/>
    <x:tableColumn id="8" name="Authority_Ref"/>
    <x:tableColumn id="9" name="Evidence_Ref"/>
    <x:tableColumn id="10" name="Status"/>
    <x:tableColumn id="11" name="Record_Type"/>
    <x:tableColumn id="12" name="Recorded_At_UTC"/>
    <x:tableColumn id="13" name="Authorship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E" displayName="tblE" ref="A4:M104" headerRowCount="1" totalsRowCount="0" totalsRowShown="0">
  <x:tableColumns count="13">
    <x:tableColumn id="1" name="Event_ID"/>
    <x:tableColumn id="2" name="Episode_ID"/>
    <x:tableColumn id="3" name="Claim_Version_Ref"/>
    <x:tableColumn id="4" name="Observed_State"/>
    <x:tableColumn id="5" name="Method"/>
    <x:tableColumn id="6" name="Units"/>
    <x:tableColumn id="7" name="Uncertainty_Basis"/>
    <x:tableColumn id="8" name="Observed_At_UTC"/>
    <x:tableColumn id="9" name="Evidence_Ref"/>
    <x:tableColumn id="10" name="Record_Type"/>
    <x:tableColumn id="11" name="Recorded_At_UTC"/>
    <x:tableColumn id="12" name="Notes"/>
    <x:tableColumn id="13" name="Episode_Li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R" displayName="tblR" ref="A4:L104" headerRowCount="1" totalsRowCount="0" totalsRowShown="0">
  <x:tableColumns count="12">
    <x:tableColumn id="1" name="Review_ID"/>
    <x:tableColumn id="2" name="Episode_ID"/>
    <x:tableColumn id="3" name="Claim_Version_Ref"/>
    <x:tableColumn id="4" name="Evidence_IDs"/>
    <x:tableColumn id="5" name="Finding"/>
    <x:tableColumn id="6" name="Reviewer_Role"/>
    <x:tableColumn id="7" name="Decision"/>
    <x:tableColumn id="8" name="Reviewed_At_UTC"/>
    <x:tableColumn id="9" name="Record_Type"/>
    <x:tableColumn id="10" name="Alternatives"/>
    <x:tableColumn id="11" name="Learner_Minutes"/>
    <x:tableColumn id="12" name="Reviewer_Minu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P" displayName="tblP" ref="A4:L104" headerRowCount="1" totalsRowCount="0" totalsRowShown="0">
  <x:tableColumns count="12">
    <x:tableColumn id="1" name="Patch_ID"/>
    <x:tableColumn id="2" name="Episode_ID"/>
    <x:tableColumn id="3" name="Review_ID"/>
    <x:tableColumn id="4" name="Proposed_Change"/>
    <x:tableColumn id="5" name="From_Version"/>
    <x:tableColumn id="6" name="To_Version"/>
    <x:tableColumn id="7" name="Approver_Role"/>
    <x:tableColumn id="8" name="Approved_At_UTC"/>
    <x:tableColumn id="9" name="Status"/>
    <x:tableColumn id="10" name="Record_Type"/>
    <x:tableColumn id="11" name="Rollback_Ref"/>
    <x:tableColumn id="1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" displayName="tblA" ref="A4:M104" headerRowCount="1" totalsRowCount="0" totalsRowShown="0">
  <x:tableColumns count="13">
    <x:tableColumn id="1" name="Apply_ID"/>
    <x:tableColumn id="2" name="Episode_ID"/>
    <x:tableColumn id="3" name="Patch_ID"/>
    <x:tableColumn id="4" name="Applied_Version"/>
    <x:tableColumn id="5" name="Applied_At_UTC"/>
    <x:tableColumn id="6" name="Actor_Role"/>
    <x:tableColumn id="7" name="Outcome"/>
    <x:tableColumn id="8" name="Verification_Evidence"/>
    <x:tableColumn id="9" name="Verifier_Role"/>
    <x:tableColumn id="10" name="Status"/>
    <x:tableColumn id="11" name="Record_Type"/>
    <x:tableColumn id="12" name="Rollback_Ref"/>
    <x:tableColumn id="13" name="Approval_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ssessment" displayName="tblAssessment" ref="A4:U204" headerRowCount="1" totalsRowCount="0" totalsRowShown="0">
  <x:tableColumns count="21">
    <x:tableColumn id="1" name="Record_ID"/>
    <x:tableColumn id="2" name="Learner_ID"/>
    <x:tableColumn id="3" name="Arm"/>
    <x:tableColumn id="4" name="Occasion"/>
    <x:tableColumn id="5" name="Mode"/>
    <x:tableColumn id="6" name="Task_Form"/>
    <x:tableColumn id="7" name="Rater_ID"/>
    <x:tableColumn id="8" name="Foundations"/>
    <x:tableColumn id="9" name="Derivation"/>
    <x:tableColumn id="10" name="Evidence"/>
    <x:tableColumn id="11" name="Boundaries"/>
    <x:tableColumn id="12" name="Revision"/>
    <x:tableColumn id="13" name="Transfer"/>
    <x:tableColumn id="14" name="Total_0_24"/>
    <x:tableColumn id="15" name="Artifact_Ref"/>
    <x:tableColumn id="16" name="Adjudication_Ref"/>
    <x:tableColumn id="17" name="Recorded_At_UTC"/>
    <x:tableColumn id="18" name="Record_Type"/>
    <x:tableColumn id="19" name="Protocol_Version"/>
    <x:tableColumn id="20" name="Notes"/>
    <x:tableColumn id="21" name="Eligibil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Outcomes" displayName="tblOutcomes" ref="A4:I44" headerRowCount="1" totalsRowCount="0" totalsRowShown="0">
  <x:tableColumns count="9">
    <x:tableColumn id="1" name="Learner_ID"/>
    <x:tableColumn id="2" name="Arm"/>
    <x:tableColumn id="3" name="Baseline_Independent"/>
    <x:tableColumn id="4" name="Post_Independent"/>
    <x:tableColumn id="5" name="Delayed_Independent"/>
    <x:tableColumn id="6" name="Paired_Change"/>
    <x:tableColumn id="7" name="Post_Amplified"/>
    <x:tableColumn id="8" name="Post_Status"/>
    <x:tableColumn id="9" name="Duplicate_Chec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Memory" displayName="tblMemory" ref="A4:J104" headerRowCount="1" totalsRowCount="0" totalsRowShown="0">
  <x:tableColumns count="10">
    <x:tableColumn id="1" name="Memory_ID"/>
    <x:tableColumn id="2" name="Episode_ID"/>
    <x:tableColumn id="3" name="Lesson"/>
    <x:tableColumn id="4" name="Supported_Boundary"/>
    <x:tableColumn id="5" name="Do_Not_Generalize"/>
    <x:tableColumn id="6" name="Supersedes"/>
    <x:tableColumn id="7" name="Reviewer_Role"/>
    <x:tableColumn id="8" name="Evidence_Ref"/>
    <x:tableColumn id="9" name="Record_Type"/>
    <x:tableColumn id="10" name="Recorded_At_UTC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Pilot" displayName="tblPilot" ref="A4:L44" headerRowCount="1" totalsRowCount="0" totalsRowShown="0">
  <x:tableColumns count="12">
    <x:tableColumn id="1" name="Item_ID"/>
    <x:tableColumn id="2" name="Phase"/>
    <x:tableColumn id="3" name="Action_or_Gate"/>
    <x:tableColumn id="4" name="Owner_Role"/>
    <x:tableColumn id="5" name="Assigned_Person"/>
    <x:tableColumn id="6" name="Timing"/>
    <x:tableColumn id="7" name="Evidence_Required"/>
    <x:tableColumn id="8" name="Status"/>
    <x:tableColumn id="9" name="Evidence_Ref"/>
    <x:tableColumn id="10" name="Decision_By"/>
    <x:tableColumn id="11" name="Decision_At_UTC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6ca372ae3a48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80ae54c0f58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8f950c5728c4b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94bc255efad4f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24e39c1e21c45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d76b40f0d8e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281c620b45242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67a3c45b23849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51ea334ad74c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0be4147be88417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2" hidden="0" customWidth="1"/>
    <x:col min="3" max="3" width="25" hidden="0" customWidth="1"/>
    <x:col min="4" max="4" width="75" hidden="0" customWidth="1"/>
  </x:cols>
  <x:sheetData>
    <x:row r="1" ht="32" customHeight="1">
      <x:c r="A1" s="9" t="str">
        <x:v>Σ FIRST | START HERE</x:v>
      </x:c>
      <x:c r="B1" s="9"/>
      <x:c r="C1" s="9"/>
      <x:c r="D1" s="9"/>
    </x:row>
    <x:row r="2" ht="32" customHeight="1">
      <x:c r="A2" s="13" t="str">
        <x:v>Deep Sigma • Proposed pilot workbook v0.1 • All prefilled episode records are SYNTHETIC. No live student scores are present.</x:v>
      </x:c>
      <x:c r="B2" s="13"/>
      <x:c r="C2" s="13"/>
      <x:c r="D2" s="13"/>
    </x:row>
    <x:row r="3">
      <x:c r="A3" s="6"/>
      <x:c r="B3" s="6"/>
      <x:c r="C3" s="6"/>
      <x:c r="D3" s="6"/>
    </x:row>
    <x:row r="4" ht="32" customHeight="1">
      <x:c r="A4" s="17" t="str">
        <x:v>Setting</x:v>
      </x:c>
      <x:c r="B4" s="17" t="str">
        <x:v>Value</x:v>
      </x:c>
      <x:c r="C4" s="17" t="str">
        <x:v>Unit / type</x:v>
      </x:c>
      <x:c r="D4" s="17" t="str">
        <x:v>Meaning / boundary</x:v>
      </x:c>
    </x:row>
    <x:row r="5" ht="54" customHeight="1">
      <x:c r="A5" s="21" t="str">
        <x:v>Target participants</x:v>
      </x:c>
      <x:c r="B5" s="21" t="n">
        <x:v>20</x:v>
      </x:c>
      <x:c r="C5" s="21" t="str">
        <x:v>people</x:v>
      </x:c>
      <x:c r="D5" s="21" t="str">
        <x:v>Proposed feasibility sample; no learners enrolled.</x:v>
      </x:c>
    </x:row>
    <x:row r="6" ht="54" customHeight="1">
      <x:c r="A6" s="21" t="str">
        <x:v>Teaching weeks</x:v>
      </x:c>
      <x:c r="B6" s="21" t="n">
        <x:v>6</x:v>
      </x:c>
      <x:c r="C6" s="21" t="str">
        <x:v>weeks</x:v>
      </x:c>
      <x:c r="D6" s="21" t="str">
        <x:v>Preparation happens before week 1.</x:v>
      </x:c>
    </x:row>
    <x:row r="7" ht="54" customHeight="1">
      <x:c r="A7" s="21" t="str">
        <x:v>Delayed assessment lag</x:v>
      </x:c>
      <x:c r="B7" s="21" t="n">
        <x:v>2</x:v>
      </x:c>
      <x:c r="C7" s="21" t="str">
        <x:v>weeks after post</x:v>
      </x:c>
      <x:c r="D7" s="21" t="str">
        <x:v>Delayed check at week 8.</x:v>
      </x:c>
    </x:row>
    <x:row r="8" ht="54" customHeight="1">
      <x:c r="A8" s="21" t="str">
        <x:v>Post completion target</x:v>
      </x:c>
      <x:c r="B8" s="24" t="n">
        <x:v>0.8</x:v>
      </x:c>
      <x:c r="C8" s="21" t="str">
        <x:v>proportion</x:v>
      </x:c>
      <x:c r="D8" s="21" t="str">
        <x:v>Proposed operating threshold, not an efficacy benchmark.</x:v>
      </x:c>
    </x:row>
    <x:row r="9" ht="54" customHeight="1">
      <x:c r="A9" s="21" t="str">
        <x:v>Learner documentation target</x:v>
      </x:c>
      <x:c r="B9" s="21" t="n">
        <x:v>15</x:v>
      </x:c>
      <x:c r="C9" s="21" t="str">
        <x:v>minutes / episode</x:v>
      </x:c>
      <x:c r="D9" s="21" t="str">
        <x:v>Proposed median threshold; record actual burden separately.</x:v>
      </x:c>
    </x:row>
    <x:row r="10" ht="54" customHeight="1">
      <x:c r="A10" s="21" t="str">
        <x:v>Reviewer burden target</x:v>
      </x:c>
      <x:c r="B10" s="21" t="n">
        <x:v>20</x:v>
      </x:c>
      <x:c r="C10" s="21" t="str">
        <x:v>minutes / episode</x:v>
      </x:c>
      <x:c r="D10" s="21" t="str">
        <x:v>Proposed median threshold; record actual burden separately.</x:v>
      </x:c>
    </x:row>
    <x:row r="11" ht="54" customHeight="1">
      <x:c r="A11" s="21" t="str">
        <x:v>Maximum dimension score</x:v>
      </x:c>
      <x:c r="B11" s="21" t="n">
        <x:v>4</x:v>
      </x:c>
      <x:c r="C11" s="21" t="str">
        <x:v>points</x:v>
      </x:c>
      <x:c r="D11" s="21" t="str">
        <x:v>Rubric v0.1; score only administered tasks.</x:v>
      </x:c>
    </x:row>
    <x:row r="12" ht="54" customHeight="1">
      <x:c r="A12" s="21" t="str">
        <x:v>Number of dimensions</x:v>
      </x:c>
      <x:c r="B12" s="21" t="n">
        <x:v>6</x:v>
      </x:c>
      <x:c r="C12" s="21" t="str">
        <x:v>dimensions</x:v>
      </x:c>
      <x:c r="D12" s="21" t="str">
        <x:v>Foundations, Derivation, Evidence, Boundaries, Revision, Transfer.</x:v>
      </x:c>
    </x:row>
    <x:row r="13" ht="54" customHeight="1">
      <x:c r="A13" s="21" t="str">
        <x:v>Calibration agreement target</x:v>
      </x:c>
      <x:c r="B13" s="24" t="n">
        <x:v>0.8</x:v>
      </x:c>
      <x:c r="C13" s="21" t="str">
        <x:v>proportion</x:v>
      </x:c>
      <x:c r="D13" s="21" t="str">
        <x:v>Exact dimension agreement on calibration examples; not a validated standard.</x:v>
      </x:c>
    </x:row>
    <x:row r="14" ht="54" customHeight="1">
      <x:c r="A14" s="21" t="str">
        <x:v>Episode row capacity</x:v>
      </x:c>
      <x:c r="B14" s="21" t="n">
        <x:v>100</x:v>
      </x:c>
      <x:c r="C14" s="21" t="str">
        <x:v>rows</x:v>
      </x:c>
      <x:c r="D14" s="21" t="str">
        <x:v>Rows 5–104; extend formulas/ranges deliberately when scaling.</x:v>
      </x:c>
    </x:row>
    <x:row r="15" ht="54" customHeight="1">
      <x:c r="A15" s="21" t="str">
        <x:v>Assessment row capacity</x:v>
      </x:c>
      <x:c r="B15" s="21" t="n">
        <x:v>200</x:v>
      </x:c>
      <x:c r="C15" s="21" t="str">
        <x:v>rows</x:v>
      </x:c>
      <x:c r="D15" s="21" t="str">
        <x:v>Rows 5–204; supports 20 learners × 3 occasions × 3 rating records plus 20 additional records.</x:v>
      </x:c>
    </x:row>
    <x:row r="16" ht="54" customHeight="1">
      <x:c r="A16" s="21" t="str">
        <x:v>Outcome learner capacity</x:v>
      </x:c>
      <x:c r="B16" s="21" t="n">
        <x:v>40</x:v>
      </x:c>
      <x:c r="C16" s="21" t="str">
        <x:v>rows</x:v>
      </x:c>
      <x:c r="D16" s="21" t="str">
        <x:v>Rows 5–44; enter one anonymous allocated learner ID per row.</x:v>
      </x:c>
    </x:row>
    <x:row r="17" ht="54" customHeight="1">
      <x:c r="A17" s="21" t="str">
        <x:v>Version</x:v>
      </x:c>
      <x:c r="B17" s="21" t="str">
        <x:v>0.1</x:v>
      </x:c>
      <x:c r="C17" s="21" t="str">
        <x:v>design</x:v>
      </x:c>
      <x:c r="D17" s="21" t="str">
        <x:v>Proposed educational profile; no deployment or efficacy claim.</x:v>
      </x:c>
    </x:row>
    <x:row r="18" ht="54" customHeight="1">
      <x:c r="A18" s="21" t="str">
        <x:v>Research source check</x:v>
      </x:c>
      <x:c r="B18" s="21" t="str">
        <x:v>2026-10-23</x:v>
      </x:c>
      <x:c r="C18" s="21" t="str">
        <x:v>date</x:v>
      </x:c>
      <x:c r="D18" s="21" t="str">
        <x:v>Seven source entries in Sources; see playbook references.</x:v>
      </x:c>
    </x:row>
    <x:row r="19" ht="54" customHeight="1">
      <x:c r="A19" s="21" t="str">
        <x:v>Start date</x:v>
      </x:c>
      <x:c r="B19" s="21" t="str">
        <x:v>UNSCHEDULED</x:v>
      </x:c>
      <x:c r="C19" s="21" t="str">
        <x:v>status</x:v>
      </x:c>
      <x:c r="D19" s="21" t="str">
        <x:v>Dates, people, and approvals must be supplied by the institution.</x:v>
      </x:c>
    </x:row>
    <x:row r="20" ht="54" customHeight="1">
      <x:c r="A20" s="21" t="str">
        <x:v>Privacy</x:v>
      </x:c>
      <x:c r="B20" s="21" t="str">
        <x:v>PSEUDONYMOUS ONLY</x:v>
      </x:c>
      <x:c r="C20" s="21" t="str">
        <x:v>rule</x:v>
      </x:c>
      <x:c r="D20" s="21" t="str">
        <x:v>Keep identity keys outside this workbook. No protected operational data.</x:v>
      </x:c>
    </x:row>
    <x:row r="21" ht="54" customHeight="1">
      <x:c r="A21" s="21" t="str">
        <x:v>Evidence types</x:v>
      </x:c>
      <x:c r="B21" s="21" t="str">
        <x:v>LIVE / SYNTHETIC / TEST</x:v>
      </x:c>
      <x:c r="C21" s="21" t="str">
        <x:v>rule</x:v>
      </x:c>
      <x:c r="D21" s="21" t="str">
        <x:v>Synthetic records demonstrate structure, not measured outcomes.</x:v>
      </x:c>
    </x:row>
    <x:row r="22" ht="54" customHeight="1">
      <x:c r="A22" s="21" t="str">
        <x:v>Independent mode</x:v>
      </x:c>
      <x:c r="B22" s="21" t="str">
        <x:v>No generative AI</x:v>
      </x:c>
      <x:c r="C22" s="21" t="str">
        <x:v>rule</x:v>
      </x:c>
      <x:c r="D22" s="21" t="str">
        <x:v>Keep approved references, calculators, and accommodations consistent.</x:v>
      </x:c>
    </x:row>
    <x:row r="23" ht="54" customHeight="1">
      <x:c r="A23" s="21" t="str">
        <x:v>Assisted mode</x:v>
      </x:c>
      <x:c r="B23" s="21" t="str">
        <x:v>Coached or Amplified</x:v>
      </x:c>
      <x:c r="C23" s="21" t="str">
        <x:v>rule</x:v>
      </x:c>
      <x:c r="D23" s="21" t="str">
        <x:v>Record approved tool use; do not combine with independent scores.</x:v>
      </x:c>
    </x:row>
    <x:row r="24" ht="54" customHeight="1">
      <x:c r="A24" s="21" t="str">
        <x:v>Formula ownership</x:v>
      </x:c>
      <x:c r="B24" s="21" t="str">
        <x:v>Shaded derived columns</x:v>
      </x:c>
      <x:c r="C24" s="21" t="str">
        <x:v>rule</x:v>
      </x:c>
      <x:c r="D24" s="21" t="str">
        <x:v>Do not type over formulas. Inputs are not proof of evidence truth.</x:v>
      </x:c>
    </x:row>
    <x:row r="25" ht="54" customHeight="1">
      <x:c r="A25" s="21" t="str">
        <x:v>Assessment key</x:v>
      </x:c>
      <x:c r="B25" s="21" t="str">
        <x:v>Learner + arm + occasion + mode</x:v>
      </x:c>
      <x:c r="C25" s="21" t="str">
        <x:v>rule</x:v>
      </x:c>
      <x:c r="D25" s="21" t="str">
        <x:v>Exactly one eligible adjudicated record per outcome; duplicates stay blank and flagged.</x:v>
      </x:c>
    </x:row>
    <x:row r="26" ht="54" customHeight="1">
      <x:c r="A26" s="21" t="str">
        <x:v>Missingness</x:v>
      </x:c>
      <x:c r="B26" s="21" t="str">
        <x:v>Blank ≠ zero</x:v>
      </x:c>
      <x:c r="C26" s="21" t="str">
        <x:v>rule</x:v>
      </x:c>
      <x:c r="D26" s="21" t="str">
        <x:v>A missing task is not a demonstrated score of zero.</x:v>
      </x:c>
    </x:row>
    <x:row r="27" ht="54" customHeight="1">
      <x:c r="A27" s="21" t="str">
        <x:v>Data integrity</x:v>
      </x:c>
      <x:c r="B27" s="21" t="str">
        <x:v>Manual review required</x:v>
      </x:c>
      <x:c r="C27" s="21" t="str">
        <x:v>boundary</x:v>
      </x:c>
      <x:c r="D27" s="21" t="str">
        <x:v>No tamper-proof audit, access control, consent workflow, or automated source verification.</x:v>
      </x:c>
    </x:row>
    <x:row r="28" ht="54" customHeight="1">
      <x:c r="A28" s="21" t="str">
        <x:v>Readiness</x:v>
      </x:c>
      <x:c r="B28" s="21" t="str">
        <x:v>DESIGN READY FOR REVIEW</x:v>
      </x:c>
      <x:c r="C28" s="21" t="str">
        <x:v>status</x:v>
      </x:c>
      <x:c r="D28" s="21" t="str">
        <x:v>No approvals, learners, or observed educational outcomes are asserted.</x:v>
      </x:c>
    </x:row>
    <x:row r="29" ht="54" customHeight="1">
      <x:c r="A29" s="21" t="str">
        <x:v>Start here</x:v>
      </x:c>
      <x:c r="B29" s="21" t="str">
        <x:v>Pilot → Episodes → C/E/R/P/A</x:v>
      </x:c>
      <x:c r="C29" s="21" t="str">
        <x:v>workflow</x:v>
      </x:c>
      <x:c r="D29" s="21" t="str">
        <x:v>Assign owners; approve the protocol; then enter live records.</x:v>
      </x:c>
    </x:row>
    <x:row r="30" ht="54" customHeight="1">
      <x:c r="A30" s="21" t="str">
        <x:v>Outcome capture</x:v>
      </x:c>
      <x:c r="B30" s="21" t="str">
        <x:v>Assessment → Outcomes → Dashboard</x:v>
      </x:c>
      <x:c r="C30" s="21" t="str">
        <x:v>workflow</x:v>
      </x:c>
      <x:c r="D30" s="21" t="str">
        <x:v>Keep raw rater rows and separate adjudicated rows. Enroll IDs in Outcomes only after approval.</x:v>
      </x:c>
    </x:row>
    <x:row r="31" ht="54" customHeight="1">
      <x:c r="A31" s="21" t="str">
        <x:v>Memory</x:v>
      </x:c>
      <x:c r="B31" s="21" t="str">
        <x:v>Keep bounded lessons</x:v>
      </x:c>
      <x:c r="C31" s="21" t="str">
        <x:v>workflow</x:v>
      </x:c>
      <x:c r="D31" s="21" t="str">
        <x:v>Preserve failed assumptions, limits, and exact artifact/version references.</x:v>
      </x:c>
    </x:row>
    <x:row r="32" ht="32" customHeight="1">
      <x:c r="A32" s="21"/>
      <x:c r="B32" s="21"/>
      <x:c r="C32" s="21"/>
      <x:c r="D32" s="21"/>
    </x:row>
    <x:row r="33" ht="32" customHeight="1">
      <x:c r="A33" s="21"/>
      <x:c r="B33" s="21"/>
      <x:c r="C33" s="21"/>
      <x:c r="D33" s="21"/>
    </x:row>
    <x:row r="34" ht="32" customHeight="1">
      <x:c r="A34" s="21"/>
      <x:c r="B34" s="21"/>
      <x:c r="C34" s="21"/>
      <x:c r="D34" s="21"/>
    </x:row>
    <x:row r="35" ht="32" customHeight="1">
      <x:c r="A35" s="21"/>
      <x:c r="B35" s="21"/>
      <x:c r="C35" s="21"/>
      <x:c r="D35" s="21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9" hidden="0" customWidth="1"/>
    <x:col min="3" max="3" width="25" hidden="0" customWidth="1"/>
    <x:col min="4" max="4" width="68" hidden="0" customWidth="1"/>
  </x:cols>
  <x:sheetData>
    <x:row r="1" ht="32" customHeight="1">
      <x:c r="A1" s="9" t="str">
        <x:v>Σ FIRST | PILOT DASHBOARD</x:v>
      </x:c>
      <x:c r="B1" s="9"/>
      <x:c r="C1" s="9"/>
      <x:c r="D1" s="9"/>
    </x:row>
    <x:row r="2" ht="32" customHeight="1">
      <x:c r="A2" s="13" t="str">
        <x:v>LIVE DATA ONLY • The workbook contains no live learning outcomes at creation. Synthetic examples are excluded from these summaries.</x:v>
      </x:c>
      <x:c r="B2" s="13"/>
      <x:c r="C2" s="13"/>
      <x:c r="D2" s="13"/>
    </x:row>
    <x:row r="3">
      <x:c r="A3" s="6"/>
      <x:c r="B3" s="6"/>
      <x:c r="C3" s="6"/>
      <x:c r="D3" s="6"/>
    </x:row>
    <x:row r="4" ht="32" customHeight="1">
      <x:c r="A4" s="17" t="str">
        <x:v>Measure</x:v>
      </x:c>
      <x:c r="B4" s="17" t="str">
        <x:v>Value</x:v>
      </x:c>
      <x:c r="C4" s="17" t="str">
        <x:v>Unit</x:v>
      </x:c>
      <x:c r="D4" s="17" t="str">
        <x:v>Interpretation</x:v>
      </x:c>
    </x:row>
    <x:row r="5" ht="40" customHeight="1">
      <x:c r="A5" s="21" t="str">
        <x:v>Live episodes</x:v>
      </x:c>
      <x:c r="B5" s="36" t="n">
        <x:f>COUNTIFS(Episodes!$O$5:$O$104,"LIVE",Episodes!$A$5:$A$104,"&lt;&gt;")</x:f>
        <x:v>0</x:v>
      </x:c>
      <x:c r="C5" s="21" t="str">
        <x:v>count</x:v>
      </x:c>
      <x:c r="D5" s="21" t="str">
        <x:v>Excludes SYNTHETIC and TEST records.</x:v>
      </x:c>
    </x:row>
    <x:row r="6" ht="40" customHeight="1">
      <x:c r="A6" s="21" t="str">
        <x:v>Allocated learners</x:v>
      </x:c>
      <x:c r="B6" s="36" t="n">
        <x:f>IF(COUNTIF(Outcomes!$I$5:$I$44,"DUPLICATE / RESOLVE")&gt;0,"",COUNTA(Outcomes!$A$5:$A$44))</x:f>
        <x:v>0</x:v>
      </x:c>
      <x:c r="C6" s="21" t="str">
        <x:v>count</x:v>
      </x:c>
      <x:c r="D6" s="21" t="str">
        <x:v>Unique learner IDs entered in Outcomes; duplicates require resolution.</x:v>
      </x:c>
    </x:row>
    <x:row r="7" ht="40" customHeight="1">
      <x:c r="A7" s="21" t="str">
        <x:v>Independent post completions</x:v>
      </x:c>
      <x:c r="B7" s="36" t="n">
        <x:f>IF(COUNTIF(Outcomes!$I$5:$I$44,"DUPLICATE / RESOLVE")&gt;0,"",COUNT(Outcomes!$D$5:$D$44))</x:f>
        <x:v>0</x:v>
      </x:c>
      <x:c r="C7" s="21" t="str">
        <x:v>count</x:v>
      </x:c>
      <x:c r="D7" s="21" t="str">
        <x:v>Unique eligible adjudicated independent post score.</x:v>
      </x:c>
    </x:row>
    <x:row r="8" ht="40" customHeight="1">
      <x:c r="A8" s="21" t="str">
        <x:v>Post completion rate</x:v>
      </x:c>
      <x:c r="B8" s="38" t="str">
        <x:f>IF(OR(B6="",B6=0),"",B7/B6)</x:f>
      </x:c>
      <x:c r="C8" s="21" t="str">
        <x:v>proportion</x:v>
      </x:c>
      <x:c r="D8" s="21" t="str">
        <x:v>Completions / allocated learners; blank when none allocated.</x:v>
      </x:c>
    </x:row>
    <x:row r="9" ht="40" customHeight="1">
      <x:c r="A9" s="21" t="str">
        <x:v>Completion target</x:v>
      </x:c>
      <x:c r="B9" s="38" t="n">
        <x:f>Start!B8</x:f>
        <x:v>0.8</x:v>
      </x:c>
      <x:c r="C9" s="21" t="str">
        <x:v>proportion</x:v>
      </x:c>
      <x:c r="D9" s="21" t="str">
        <x:v>Proposed operational threshold, not evidence of effectiveness.</x:v>
      </x:c>
    </x:row>
    <x:row r="10" ht="40" customHeight="1">
      <x:c r="A10" s="21" t="str">
        <x:v>Outcome integrity</x:v>
      </x:c>
      <x:c r="B10" s="36" t="str">
        <x:f>IF(COUNTIF(Outcomes!$I$5:$I$44,"DUPLICATE / RESOLVE")&gt;0,"HOLD: RESOLVE DUPLICATES","NO DUPLICATES FLAGGED")</x:f>
        <x:v>NO DUPLICATES FLAGGED</x:v>
      </x:c>
      <x:c r="C10" s="21" t="str">
        <x:v>status</x:v>
      </x:c>
      <x:c r="D10" s="21" t="str">
        <x:v>Resolve duplicates before interpreting means or counts.</x:v>
      </x:c>
    </x:row>
    <x:row r="11" ht="40" customHeight="1">
      <x:c r="A11" s="21" t="str">
        <x:v>CERPA mean paired change</x:v>
      </x:c>
      <x:c r="B11" s="40" t="str">
        <x:f>IF(COUNTIF(Outcomes!$I$5:$I$44,"DUPLICATE / RESOLVE")&gt;0,"",IF(COUNTIFS(Outcomes!$B$5:$B$44,"CERPA",Outcomes!$H$5:$H$44,"POST COMPLETE / PAIRED")=0,"",SUMIF(Outcomes!$B$5:$B$44,"CERPA",Outcomes!$F$5:$F$44)/COUNTIFS(Outcomes!$B$5:$B$44,"CERPA",Outcomes!$H$5:$H$44,"POST COMPLETE / PAIRED")))</x:f>
      </x:c>
      <x:c r="C11" s="21" t="str">
        <x:v>points (0–24 scale)</x:v>
      </x:c>
      <x:c r="D11" s="21" t="str">
        <x:v>Post minus baseline among learners with both scores.</x:v>
      </x:c>
    </x:row>
    <x:row r="12" ht="40" customHeight="1">
      <x:c r="A12" s="21" t="str">
        <x:v>Comparison mean paired change</x:v>
      </x:c>
      <x:c r="B12" s="40" t="str">
        <x:f>IF(COUNTIF(Outcomes!$I$5:$I$44,"DUPLICATE / RESOLVE")&gt;0,"",IF(COUNTIFS(Outcomes!$B$5:$B$44,"Comparison",Outcomes!$H$5:$H$44,"POST COMPLETE / PAIRED")=0,"",SUMIF(Outcomes!$B$5:$B$44,"Comparison",Outcomes!$F$5:$F$44)/COUNTIFS(Outcomes!$B$5:$B$44,"Comparison",Outcomes!$H$5:$H$44,"POST COMPLETE / PAIRED")))</x:f>
      </x:c>
      <x:c r="C12" s="21" t="str">
        <x:v>points (0–24 scale)</x:v>
      </x:c>
      <x:c r="D12" s="21" t="str">
        <x:v>Post minus baseline among learners with both scores.</x:v>
      </x:c>
    </x:row>
    <x:row r="13" ht="40" customHeight="1">
      <x:c r="A13" s="21" t="str">
        <x:v>Difference of mean changes</x:v>
      </x:c>
      <x:c r="B13" s="40" t="str">
        <x:f>IF(AND(ISNUMBER(B11),ISNUMBER(B12)),B11-B12,"")</x:f>
      </x:c>
      <x:c r="C13" s="21" t="str">
        <x:v>points</x:v>
      </x:c>
      <x:c r="D13" s="21" t="str">
        <x:v>Descriptive only; not a powered causal estimate.</x:v>
      </x:c>
    </x:row>
    <x:row r="14" ht="40" customHeight="1">
      <x:c r="A14" s="21" t="str">
        <x:v>Live claim records</x:v>
      </x:c>
      <x:c r="B14" s="36" t="n">
        <x:f>COUNTIFS(C!$K$5:$K$104,"LIVE",C!$A$5:$A$104,"&lt;&gt;")</x:f>
        <x:v>0</x:v>
      </x:c>
      <x:c r="C14" s="21" t="str">
        <x:v>count</x:v>
      </x:c>
      <x:c r="D14" s="21" t="str">
        <x:v>Record type LIVE with nonblank ID.</x:v>
      </x:c>
    </x:row>
    <x:row r="15" ht="40" customHeight="1">
      <x:c r="A15" s="21" t="str">
        <x:v>Live event records</x:v>
      </x:c>
      <x:c r="B15" s="36" t="n">
        <x:f>COUNTIFS(E!$J$5:$J$104,"LIVE",E!$A$5:$A$104,"&lt;&gt;")</x:f>
        <x:v>0</x:v>
      </x:c>
      <x:c r="C15" s="21" t="str">
        <x:v>count</x:v>
      </x:c>
      <x:c r="D15" s="21" t="str">
        <x:v>Record type LIVE with nonblank ID.</x:v>
      </x:c>
    </x:row>
    <x:row r="16" ht="40" customHeight="1">
      <x:c r="A16" s="21" t="str">
        <x:v>Live review records</x:v>
      </x:c>
      <x:c r="B16" s="36" t="n">
        <x:f>COUNTIFS(R!$I$5:$I$104,"LIVE",R!$A$5:$A$104,"&lt;&gt;")</x:f>
        <x:v>0</x:v>
      </x:c>
      <x:c r="C16" s="21" t="str">
        <x:v>count</x:v>
      </x:c>
      <x:c r="D16" s="21" t="str">
        <x:v>Record type LIVE with nonblank ID.</x:v>
      </x:c>
    </x:row>
    <x:row r="17" ht="40" customHeight="1">
      <x:c r="A17" s="21" t="str">
        <x:v>Live approved patches</x:v>
      </x:c>
      <x:c r="B17" s="36" t="n">
        <x:f>COUNTIFS(P!$J$5:$J$104,"LIVE",P!$I$5:$I$104,"Approved",P!$A$5:$A$104,"&lt;&gt;")</x:f>
        <x:v>0</x:v>
      </x:c>
      <x:c r="C17" s="21" t="str">
        <x:v>count</x:v>
      </x:c>
      <x:c r="D17" s="21" t="str">
        <x:v>Recorded approval only, not proof of application.</x:v>
      </x:c>
    </x:row>
    <x:row r="18" ht="40" customHeight="1">
      <x:c r="A18" s="21" t="str">
        <x:v>Live verified applications</x:v>
      </x:c>
      <x:c r="B18" s="36" t="n">
        <x:f>COUNTIFS(A!$K$5:$K$104,"LIVE",A!$J$5:$J$104,"Verified within boundary",A!$A$5:$A$104,"&lt;&gt;")</x:f>
        <x:v>0</x:v>
      </x:c>
      <x:c r="C18" s="21" t="str">
        <x:v>count</x:v>
      </x:c>
      <x:c r="D18" s="21" t="str">
        <x:v>Manual reported status only, not software attestation.</x:v>
      </x:c>
    </x:row>
    <x:row r="19" ht="40" customHeight="1">
      <x:c r="A19" s="21" t="str">
        <x:v>Operating state</x:v>
      </x:c>
      <x:c r="B19" s="36" t="str">
        <x:f>IF(B10="HOLD: RESOLVE DUPLICATES","DATA HOLD",IF(B7=0,"NO LIVE POST OUTCOMES","REVIEW DATA AND PROTOCOL"))</x:f>
        <x:v>NO LIVE POST OUTCOMES</x:v>
      </x:c>
      <x:c r="C19" s="21" t="str">
        <x:v>status</x:v>
      </x:c>
      <x:c r="D19" s="21" t="str">
        <x:v>No efficacy conclusions until data, quality checks, and approved analysis.</x:v>
      </x:c>
    </x:row>
    <x:row r="20" ht="32" customHeight="1">
      <x:c r="A20" s="21"/>
      <x:c r="B20" s="21"/>
      <x:c r="C20" s="21"/>
      <x:c r="D20" s="21"/>
    </x:row>
    <x:row r="21" ht="32" customHeight="1">
      <x:c r="A21" s="21"/>
      <x:c r="B21" s="21"/>
      <x:c r="C21" s="21"/>
      <x:c r="D21" s="21"/>
    </x:row>
    <x:row r="22" ht="32" customHeight="1">
      <x:c r="A22" s="21"/>
      <x:c r="B22" s="21"/>
      <x:c r="C22" s="21"/>
      <x:c r="D22" s="21"/>
    </x:row>
    <x:row r="23" ht="32" customHeight="1">
      <x:c r="A23" s="21"/>
      <x:c r="B23" s="21"/>
      <x:c r="C23" s="21"/>
      <x:c r="D23" s="21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4" hidden="0" customWidth="1"/>
    <x:col min="4" max="4" width="38" hidden="0" customWidth="1"/>
    <x:col min="5" max="5" width="21" hidden="0" customWidth="1"/>
    <x:col min="6" max="6" width="17" hidden="0" customWidth="1"/>
    <x:col min="7" max="7" width="36" hidden="0" customWidth="1"/>
    <x:col min="8" max="8" width="31" hidden="0" customWidth="1"/>
    <x:col min="9" max="9" width="23" hidden="0" customWidth="1"/>
    <x:col min="10" max="10" width="38" hidden="0" customWidth="1"/>
    <x:col min="11" max="11" width="38" hidden="0" customWidth="1"/>
    <x:col min="12" max="12" width="30" hidden="0" customWidth="1"/>
    <x:col min="13" max="13" width="30" hidden="0" customWidth="1"/>
    <x:col min="14" max="14" width="19" hidden="0" customWidth="1"/>
    <x:col min="15" max="15" width="20" hidden="0" customWidth="1"/>
    <x:col min="16" max="16" width="25" hidden="0" customWidth="1"/>
    <x:col min="17" max="17" width="24" hidden="0" customWidth="1"/>
  </x:cols>
  <x:sheetData>
    <x:row r="1" ht="32" customHeight="1">
      <x:c r="A1" s="9" t="str">
        <x:v>Σ FIRST | EPISODE MANIFEST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 ht="32" customHeight="1">
      <x:c r="A2" s="13" t="str">
        <x:v>Stable IDs and exact versions. Fields describe the boundary of a prediction; missing observations remain unknown.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32" customHeight="1">
      <x:c r="A4" s="17" t="str">
        <x:v>Episode_ID</x:v>
      </x:c>
      <x:c r="B4" s="17" t="str">
        <x:v>Learner_ID</x:v>
      </x:c>
      <x:c r="C4" s="17" t="str">
        <x:v>Owner_Role</x:v>
      </x:c>
      <x:c r="D4" s="17" t="str">
        <x:v>Objective</x:v>
      </x:c>
      <x:c r="E4" s="17" t="str">
        <x:v>Model_ID</x:v>
      </x:c>
      <x:c r="F4" s="17" t="str">
        <x:v>Model_Version</x:v>
      </x:c>
      <x:c r="G4" s="17" t="str">
        <x:v>Scope</x:v>
      </x:c>
      <x:c r="H4" s="17" t="str">
        <x:v>Resolution</x:v>
      </x:c>
      <x:c r="I4" s="17" t="str">
        <x:v>Horizon</x:v>
      </x:c>
      <x:c r="J4" s="17" t="str">
        <x:v>Reliability_Basis</x:v>
      </x:c>
      <x:c r="K4" s="17" t="str">
        <x:v>Reobserve_Trigger</x:v>
      </x:c>
      <x:c r="L4" s="17" t="str">
        <x:v>Independent_Artifact</x:v>
      </x:c>
      <x:c r="M4" s="17" t="str">
        <x:v>Assisted_Artifact</x:v>
      </x:c>
      <x:c r="N4" s="17" t="str">
        <x:v>Status</x:v>
      </x:c>
      <x:c r="O4" s="17" t="str">
        <x:v>Record_Type</x:v>
      </x:c>
      <x:c r="P4" s="17" t="str">
        <x:v>Recorded_At_UTC</x:v>
      </x:c>
      <x:c r="Q4" s="17" t="str">
        <x:v>Readiness</x:v>
      </x:c>
    </x:row>
    <x:row r="5" ht="54" customHeight="1">
      <x:c r="A5" s="21" t="str">
        <x:v>DEMO-001</x:v>
      </x:c>
      <x:c r="B5" s="21" t="str">
        <x:v>SYNTHETIC-ONLY</x:v>
      </x:c>
      <x:c r="C5" s="21" t="str">
        <x:v>Simulated learner</x:v>
      </x:c>
      <x:c r="D5" s="21" t="str">
        <x:v>Maintain minimum service for 6 hours</x:v>
      </x:c>
      <x:c r="E5" s="21" t="str">
        <x:v>ENERGY-DEMO</x:v>
      </x:c>
      <x:c r="F5" s="21" t="str">
        <x:v>v2</x:v>
      </x:c>
      <x:c r="G5" s="21" t="str">
        <x:v>Constant-load classroom simulation</x:v>
      </x:c>
      <x:c r="H5" s="21" t="str">
        <x:v>1 simulated minute; Wh and W</x:v>
      </x:c>
      <x:c r="I5" s="21" t="str">
        <x:v>6 simulated hours</x:v>
      </x:c>
      <x:c r="J5" s="21" t="str">
        <x:v>Stipulated inputs and arithmetic only</x:v>
      </x:c>
      <x:c r="K5" s="21" t="str">
        <x:v>Load &gt;26 W; usable energy &lt;168 Wh; priority change; horizon expiry</x:v>
      </x:c>
      <x:c r="L5" s="21" t="str">
        <x:v>Not assessed</x:v>
      </x:c>
      <x:c r="M5" s="21" t="str">
        <x:v>Not assessed</x:v>
      </x:c>
      <x:c r="N5" s="21" t="str">
        <x:v>Closed</x:v>
      </x:c>
      <x:c r="O5" s="21" t="str">
        <x:v>SYNTHETIC</x:v>
      </x:c>
      <x:c r="P5" s="21" t="n">
        <x:v>46318</x:v>
      </x:c>
      <x:c r="Q5" s="26" t="str">
        <x:f>IF(A5="","",IF(AND(D5&lt;&gt;"",E5&lt;&gt;"",F5&lt;&gt;"",G5&lt;&gt;"",H5&lt;&gt;"",I5&lt;&gt;"",J5&lt;&gt;"",K5&lt;&gt;"",O5&lt;&gt;""),"FIELDS PRESENT","MISSING FIELDS"))</x:f>
        <x:v>FIELDS PRESENT</x:v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6" t="str">
        <x:f>IF(A6="","",IF(AND(D6&lt;&gt;"",E6&lt;&gt;"",F6&lt;&gt;"",G6&lt;&gt;"",H6&lt;&gt;"",I6&lt;&gt;"",J6&lt;&gt;"",K6&lt;&gt;"",O6&lt;&gt;""),"FIELDS PRESENT","MISSING FIELDS"))</x:f>
      </x:c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6" t="str">
        <x:f>IF(A7="","",IF(AND(D7&lt;&gt;"",E7&lt;&gt;"",F7&lt;&gt;"",G7&lt;&gt;"",H7&lt;&gt;"",I7&lt;&gt;"",J7&lt;&gt;"",K7&lt;&gt;"",O7&lt;&gt;""),"FIELDS PRESENT","MISSING FIELDS"))</x:f>
      </x:c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6" t="str">
        <x:f>IF(A8="","",IF(AND(D8&lt;&gt;"",E8&lt;&gt;"",F8&lt;&gt;"",G8&lt;&gt;"",H8&lt;&gt;"",I8&lt;&gt;"",J8&lt;&gt;"",K8&lt;&gt;"",O8&lt;&gt;""),"FIELDS PRESENT","MISSING FIELDS"))</x:f>
      </x:c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6" t="str">
        <x:f>IF(A9="","",IF(AND(D9&lt;&gt;"",E9&lt;&gt;"",F9&lt;&gt;"",G9&lt;&gt;"",H9&lt;&gt;"",I9&lt;&gt;"",J9&lt;&gt;"",K9&lt;&gt;"",O9&lt;&gt;""),"FIELDS PRESENT","MISSING FIELDS"))</x:f>
      </x:c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6" t="str">
        <x:f>IF(A10="","",IF(AND(D10&lt;&gt;"",E10&lt;&gt;"",F10&lt;&gt;"",G10&lt;&gt;"",H10&lt;&gt;"",I10&lt;&gt;"",J10&lt;&gt;"",K10&lt;&gt;"",O10&lt;&gt;""),"FIELDS PRESENT","MISSING FIELDS"))</x:f>
      </x:c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6" t="str">
        <x:f>IF(A11="","",IF(AND(D11&lt;&gt;"",E11&lt;&gt;"",F11&lt;&gt;"",G11&lt;&gt;"",H11&lt;&gt;"",I11&lt;&gt;"",J11&lt;&gt;"",K11&lt;&gt;"",O11&lt;&gt;""),"FIELDS PRESENT","MISSING FIELDS"))</x:f>
      </x:c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6" t="str">
        <x:f>IF(A12="","",IF(AND(D12&lt;&gt;"",E12&lt;&gt;"",F12&lt;&gt;"",G12&lt;&gt;"",H12&lt;&gt;"",I12&lt;&gt;"",J12&lt;&gt;"",K12&lt;&gt;"",O12&lt;&gt;""),"FIELDS PRESENT","MISSING FIELDS"))</x:f>
      </x:c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6" t="str">
        <x:f>IF(A13="","",IF(AND(D13&lt;&gt;"",E13&lt;&gt;"",F13&lt;&gt;"",G13&lt;&gt;"",H13&lt;&gt;"",I13&lt;&gt;"",J13&lt;&gt;"",K13&lt;&gt;"",O13&lt;&gt;""),"FIELDS PRESENT","MISSING FIELDS"))</x:f>
      </x:c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6" t="str">
        <x:f>IF(A14="","",IF(AND(D14&lt;&gt;"",E14&lt;&gt;"",F14&lt;&gt;"",G14&lt;&gt;"",H14&lt;&gt;"",I14&lt;&gt;"",J14&lt;&gt;"",K14&lt;&gt;"",O14&lt;&gt;""),"FIELDS PRESENT","MISSING FIELDS"))</x:f>
      </x:c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6" t="str">
        <x:f>IF(A15="","",IF(AND(D15&lt;&gt;"",E15&lt;&gt;"",F15&lt;&gt;"",G15&lt;&gt;"",H15&lt;&gt;"",I15&lt;&gt;"",J15&lt;&gt;"",K15&lt;&gt;"",O15&lt;&gt;""),"FIELDS PRESENT","MISSING FIELDS"))</x:f>
      </x:c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6" t="str">
        <x:f>IF(A16="","",IF(AND(D16&lt;&gt;"",E16&lt;&gt;"",F16&lt;&gt;"",G16&lt;&gt;"",H16&lt;&gt;"",I16&lt;&gt;"",J16&lt;&gt;"",K16&lt;&gt;"",O16&lt;&gt;""),"FIELDS PRESENT","MISSING FIELDS"))</x:f>
      </x:c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6" t="str">
        <x:f>IF(A17="","",IF(AND(D17&lt;&gt;"",E17&lt;&gt;"",F17&lt;&gt;"",G17&lt;&gt;"",H17&lt;&gt;"",I17&lt;&gt;"",J17&lt;&gt;"",K17&lt;&gt;"",O17&lt;&gt;""),"FIELDS PRESENT","MISSING FIELDS"))</x:f>
      </x:c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6" t="str">
        <x:f>IF(A18="","",IF(AND(D18&lt;&gt;"",E18&lt;&gt;"",F18&lt;&gt;"",G18&lt;&gt;"",H18&lt;&gt;"",I18&lt;&gt;"",J18&lt;&gt;"",K18&lt;&gt;"",O18&lt;&gt;""),"FIELDS PRESENT","MISSING FIELDS"))</x:f>
      </x:c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6" t="str">
        <x:f>IF(A19="","",IF(AND(D19&lt;&gt;"",E19&lt;&gt;"",F19&lt;&gt;"",G19&lt;&gt;"",H19&lt;&gt;"",I19&lt;&gt;"",J19&lt;&gt;"",K19&lt;&gt;"",O19&lt;&gt;""),"FIELDS PRESENT","MISSING FIELDS"))</x:f>
      </x:c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6" t="str">
        <x:f>IF(A20="","",IF(AND(D20&lt;&gt;"",E20&lt;&gt;"",F20&lt;&gt;"",G20&lt;&gt;"",H20&lt;&gt;"",I20&lt;&gt;"",J20&lt;&gt;"",K20&lt;&gt;"",O20&lt;&gt;""),"FIELDS PRESENT","MISSING FIELDS"))</x:f>
      </x:c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6" t="str">
        <x:f>IF(A21="","",IF(AND(D21&lt;&gt;"",E21&lt;&gt;"",F21&lt;&gt;"",G21&lt;&gt;"",H21&lt;&gt;"",I21&lt;&gt;"",J21&lt;&gt;"",K21&lt;&gt;"",O21&lt;&gt;""),"FIELDS PRESENT","MISSING FIELDS"))</x:f>
      </x:c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6" t="str">
        <x:f>IF(A22="","",IF(AND(D22&lt;&gt;"",E22&lt;&gt;"",F22&lt;&gt;"",G22&lt;&gt;"",H22&lt;&gt;"",I22&lt;&gt;"",J22&lt;&gt;"",K22&lt;&gt;"",O22&lt;&gt;""),"FIELDS PRESENT","MISSING FIELDS"))</x:f>
      </x:c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6" t="str">
        <x:f>IF(A23="","",IF(AND(D23&lt;&gt;"",E23&lt;&gt;"",F23&lt;&gt;"",G23&lt;&gt;"",H23&lt;&gt;"",I23&lt;&gt;"",J23&lt;&gt;"",K23&lt;&gt;"",O23&lt;&gt;""),"FIELDS PRESENT","MISSING FIELDS"))</x:f>
      </x:c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6" t="str">
        <x:f>IF(A24="","",IF(AND(D24&lt;&gt;"",E24&lt;&gt;"",F24&lt;&gt;"",G24&lt;&gt;"",H24&lt;&gt;"",I24&lt;&gt;"",J24&lt;&gt;"",K24&lt;&gt;"",O24&lt;&gt;""),"FIELDS PRESENT","MISSING FIELDS"))</x:f>
      </x:c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6" t="str">
        <x:f>IF(A25="","",IF(AND(D25&lt;&gt;"",E25&lt;&gt;"",F25&lt;&gt;"",G25&lt;&gt;"",H25&lt;&gt;"",I25&lt;&gt;"",J25&lt;&gt;"",K25&lt;&gt;"",O25&lt;&gt;""),"FIELDS PRESENT","MISSING FIELDS"))</x:f>
      </x:c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6" t="str">
        <x:f>IF(A26="","",IF(AND(D26&lt;&gt;"",E26&lt;&gt;"",F26&lt;&gt;"",G26&lt;&gt;"",H26&lt;&gt;"",I26&lt;&gt;"",J26&lt;&gt;"",K26&lt;&gt;"",O26&lt;&gt;""),"FIELDS PRESENT","MISSING FIELDS"))</x:f>
      </x:c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6" t="str">
        <x:f>IF(A27="","",IF(AND(D27&lt;&gt;"",E27&lt;&gt;"",F27&lt;&gt;"",G27&lt;&gt;"",H27&lt;&gt;"",I27&lt;&gt;"",J27&lt;&gt;"",K27&lt;&gt;"",O27&lt;&gt;""),"FIELDS PRESENT","MISSING FIELDS"))</x:f>
      </x:c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6" t="str">
        <x:f>IF(A28="","",IF(AND(D28&lt;&gt;"",E28&lt;&gt;"",F28&lt;&gt;"",G28&lt;&gt;"",H28&lt;&gt;"",I28&lt;&gt;"",J28&lt;&gt;"",K28&lt;&gt;"",O28&lt;&gt;""),"FIELDS PRESENT","MISSING FIELDS"))</x:f>
      </x:c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6" t="str">
        <x:f>IF(A29="","",IF(AND(D29&lt;&gt;"",E29&lt;&gt;"",F29&lt;&gt;"",G29&lt;&gt;"",H29&lt;&gt;"",I29&lt;&gt;"",J29&lt;&gt;"",K29&lt;&gt;"",O29&lt;&gt;""),"FIELDS PRESENT","MISSING FIELDS"))</x:f>
      </x:c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6" t="str">
        <x:f>IF(A30="","",IF(AND(D30&lt;&gt;"",E30&lt;&gt;"",F30&lt;&gt;"",G30&lt;&gt;"",H30&lt;&gt;"",I30&lt;&gt;"",J30&lt;&gt;"",K30&lt;&gt;"",O30&lt;&gt;""),"FIELDS PRESENT","MISSING FIELDS"))</x:f>
      </x:c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6" t="str">
        <x:f>IF(A31="","",IF(AND(D31&lt;&gt;"",E31&lt;&gt;"",F31&lt;&gt;"",G31&lt;&gt;"",H31&lt;&gt;"",I31&lt;&gt;"",J31&lt;&gt;"",K31&lt;&gt;"",O31&lt;&gt;""),"FIELDS PRESENT","MISSING FIELDS"))</x:f>
      </x:c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6" t="str">
        <x:f>IF(A32="","",IF(AND(D32&lt;&gt;"",E32&lt;&gt;"",F32&lt;&gt;"",G32&lt;&gt;"",H32&lt;&gt;"",I32&lt;&gt;"",J32&lt;&gt;"",K32&lt;&gt;"",O32&lt;&gt;""),"FIELDS PRESENT","MISSING FIELDS"))</x:f>
      </x:c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6" t="str">
        <x:f>IF(A33="","",IF(AND(D33&lt;&gt;"",E33&lt;&gt;"",F33&lt;&gt;"",G33&lt;&gt;"",H33&lt;&gt;"",I33&lt;&gt;"",J33&lt;&gt;"",K33&lt;&gt;"",O33&lt;&gt;""),"FIELDS PRESENT","MISSING FIELDS"))</x:f>
      </x:c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6" t="str">
        <x:f>IF(A34="","",IF(AND(D34&lt;&gt;"",E34&lt;&gt;"",F34&lt;&gt;"",G34&lt;&gt;"",H34&lt;&gt;"",I34&lt;&gt;"",J34&lt;&gt;"",K34&lt;&gt;"",O34&lt;&gt;""),"FIELDS PRESENT","MISSING FIELDS"))</x:f>
      </x:c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6" t="str">
        <x:f>IF(A35="","",IF(AND(D35&lt;&gt;"",E35&lt;&gt;"",F35&lt;&gt;"",G35&lt;&gt;"",H35&lt;&gt;"",I35&lt;&gt;"",J35&lt;&gt;"",K35&lt;&gt;"",O35&lt;&gt;""),"FIELDS PRESENT","MISSING FIELDS"))</x:f>
      </x:c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6" t="str">
        <x:f>IF(A36="","",IF(AND(D36&lt;&gt;"",E36&lt;&gt;"",F36&lt;&gt;"",G36&lt;&gt;"",H36&lt;&gt;"",I36&lt;&gt;"",J36&lt;&gt;"",K36&lt;&gt;"",O36&lt;&gt;""),"FIELDS PRESENT","MISSING FIELDS"))</x:f>
      </x:c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6" t="str">
        <x:f>IF(A37="","",IF(AND(D37&lt;&gt;"",E37&lt;&gt;"",F37&lt;&gt;"",G37&lt;&gt;"",H37&lt;&gt;"",I37&lt;&gt;"",J37&lt;&gt;"",K37&lt;&gt;"",O37&lt;&gt;""),"FIELDS PRESENT","MISSING FIELDS"))</x:f>
      </x:c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6" t="str">
        <x:f>IF(A38="","",IF(AND(D38&lt;&gt;"",E38&lt;&gt;"",F38&lt;&gt;"",G38&lt;&gt;"",H38&lt;&gt;"",I38&lt;&gt;"",J38&lt;&gt;"",K38&lt;&gt;"",O38&lt;&gt;""),"FIELDS PRESENT","MISSING FIELDS"))</x:f>
      </x:c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6" t="str">
        <x:f>IF(A39="","",IF(AND(D39&lt;&gt;"",E39&lt;&gt;"",F39&lt;&gt;"",G39&lt;&gt;"",H39&lt;&gt;"",I39&lt;&gt;"",J39&lt;&gt;"",K39&lt;&gt;"",O39&lt;&gt;""),"FIELDS PRESENT","MISSING FIELDS"))</x:f>
      </x:c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6" t="str">
        <x:f>IF(A40="","",IF(AND(D40&lt;&gt;"",E40&lt;&gt;"",F40&lt;&gt;"",G40&lt;&gt;"",H40&lt;&gt;"",I40&lt;&gt;"",J40&lt;&gt;"",K40&lt;&gt;"",O40&lt;&gt;""),"FIELDS PRESENT","MISSING FIELDS"))</x:f>
      </x:c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6" t="str">
        <x:f>IF(A41="","",IF(AND(D41&lt;&gt;"",E41&lt;&gt;"",F41&lt;&gt;"",G41&lt;&gt;"",H41&lt;&gt;"",I41&lt;&gt;"",J41&lt;&gt;"",K41&lt;&gt;"",O41&lt;&gt;""),"FIELDS PRESENT","MISSING FIELDS"))</x:f>
      </x:c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6" t="str">
        <x:f>IF(A42="","",IF(AND(D42&lt;&gt;"",E42&lt;&gt;"",F42&lt;&gt;"",G42&lt;&gt;"",H42&lt;&gt;"",I42&lt;&gt;"",J42&lt;&gt;"",K42&lt;&gt;"",O42&lt;&gt;""),"FIELDS PRESENT","MISSING FIELDS"))</x:f>
      </x:c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6" t="str">
        <x:f>IF(A43="","",IF(AND(D43&lt;&gt;"",E43&lt;&gt;"",F43&lt;&gt;"",G43&lt;&gt;"",H43&lt;&gt;"",I43&lt;&gt;"",J43&lt;&gt;"",K43&lt;&gt;"",O43&lt;&gt;""),"FIELDS PRESENT","MISSING FIELDS"))</x:f>
      </x:c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6" t="str">
        <x:f>IF(A44="","",IF(AND(D44&lt;&gt;"",E44&lt;&gt;"",F44&lt;&gt;"",G44&lt;&gt;"",H44&lt;&gt;"",I44&lt;&gt;"",J44&lt;&gt;"",K44&lt;&gt;"",O44&lt;&gt;""),"FIELDS PRESENT","MISSING FIELDS"))</x:f>
      </x:c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6" t="str">
        <x:f>IF(A45="","",IF(AND(D45&lt;&gt;"",E45&lt;&gt;"",F45&lt;&gt;"",G45&lt;&gt;"",H45&lt;&gt;"",I45&lt;&gt;"",J45&lt;&gt;"",K45&lt;&gt;"",O45&lt;&gt;""),"FIELDS PRESENT","MISSING FIELDS"))</x:f>
      </x:c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6" t="str">
        <x:f>IF(A46="","",IF(AND(D46&lt;&gt;"",E46&lt;&gt;"",F46&lt;&gt;"",G46&lt;&gt;"",H46&lt;&gt;"",I46&lt;&gt;"",J46&lt;&gt;"",K46&lt;&gt;"",O46&lt;&gt;""),"FIELDS PRESENT","MISSING FIELDS"))</x:f>
      </x:c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6" t="str">
        <x:f>IF(A47="","",IF(AND(D47&lt;&gt;"",E47&lt;&gt;"",F47&lt;&gt;"",G47&lt;&gt;"",H47&lt;&gt;"",I47&lt;&gt;"",J47&lt;&gt;"",K47&lt;&gt;"",O47&lt;&gt;""),"FIELDS PRESENT","MISSING FIELDS"))</x:f>
      </x:c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6" t="str">
        <x:f>IF(A48="","",IF(AND(D48&lt;&gt;"",E48&lt;&gt;"",F48&lt;&gt;"",G48&lt;&gt;"",H48&lt;&gt;"",I48&lt;&gt;"",J48&lt;&gt;"",K48&lt;&gt;"",O48&lt;&gt;""),"FIELDS PRESENT","MISSING FIELDS"))</x:f>
      </x:c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6" t="str">
        <x:f>IF(A49="","",IF(AND(D49&lt;&gt;"",E49&lt;&gt;"",F49&lt;&gt;"",G49&lt;&gt;"",H49&lt;&gt;"",I49&lt;&gt;"",J49&lt;&gt;"",K49&lt;&gt;"",O49&lt;&gt;""),"FIELDS PRESENT","MISSING FIELDS"))</x:f>
      </x:c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6" t="str">
        <x:f>IF(A50="","",IF(AND(D50&lt;&gt;"",E50&lt;&gt;"",F50&lt;&gt;"",G50&lt;&gt;"",H50&lt;&gt;"",I50&lt;&gt;"",J50&lt;&gt;"",K50&lt;&gt;"",O50&lt;&gt;""),"FIELDS PRESENT","MISSING FIELDS"))</x:f>
      </x:c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6" t="str">
        <x:f>IF(A51="","",IF(AND(D51&lt;&gt;"",E51&lt;&gt;"",F51&lt;&gt;"",G51&lt;&gt;"",H51&lt;&gt;"",I51&lt;&gt;"",J51&lt;&gt;"",K51&lt;&gt;"",O51&lt;&gt;""),"FIELDS PRESENT","MISSING FIELDS"))</x:f>
      </x:c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6" t="str">
        <x:f>IF(A52="","",IF(AND(D52&lt;&gt;"",E52&lt;&gt;"",F52&lt;&gt;"",G52&lt;&gt;"",H52&lt;&gt;"",I52&lt;&gt;"",J52&lt;&gt;"",K52&lt;&gt;"",O52&lt;&gt;""),"FIELDS PRESENT","MISSING FIELDS"))</x:f>
      </x:c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6" t="str">
        <x:f>IF(A53="","",IF(AND(D53&lt;&gt;"",E53&lt;&gt;"",F53&lt;&gt;"",G53&lt;&gt;"",H53&lt;&gt;"",I53&lt;&gt;"",J53&lt;&gt;"",K53&lt;&gt;"",O53&lt;&gt;""),"FIELDS PRESENT","MISSING FIELDS"))</x:f>
      </x:c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6" t="str">
        <x:f>IF(A54="","",IF(AND(D54&lt;&gt;"",E54&lt;&gt;"",F54&lt;&gt;"",G54&lt;&gt;"",H54&lt;&gt;"",I54&lt;&gt;"",J54&lt;&gt;"",K54&lt;&gt;"",O54&lt;&gt;""),"FIELDS PRESENT","MISSING FIELDS"))</x:f>
      </x:c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6" t="str">
        <x:f>IF(A55="","",IF(AND(D55&lt;&gt;"",E55&lt;&gt;"",F55&lt;&gt;"",G55&lt;&gt;"",H55&lt;&gt;"",I55&lt;&gt;"",J55&lt;&gt;"",K55&lt;&gt;"",O55&lt;&gt;""),"FIELDS PRESENT","MISSING FIELDS"))</x:f>
      </x:c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6" t="str">
        <x:f>IF(A56="","",IF(AND(D56&lt;&gt;"",E56&lt;&gt;"",F56&lt;&gt;"",G56&lt;&gt;"",H56&lt;&gt;"",I56&lt;&gt;"",J56&lt;&gt;"",K56&lt;&gt;"",O56&lt;&gt;""),"FIELDS PRESENT","MISSING FIELDS"))</x:f>
      </x:c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6" t="str">
        <x:f>IF(A57="","",IF(AND(D57&lt;&gt;"",E57&lt;&gt;"",F57&lt;&gt;"",G57&lt;&gt;"",H57&lt;&gt;"",I57&lt;&gt;"",J57&lt;&gt;"",K57&lt;&gt;"",O57&lt;&gt;""),"FIELDS PRESENT","MISSING FIELDS"))</x:f>
      </x:c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6" t="str">
        <x:f>IF(A58="","",IF(AND(D58&lt;&gt;"",E58&lt;&gt;"",F58&lt;&gt;"",G58&lt;&gt;"",H58&lt;&gt;"",I58&lt;&gt;"",J58&lt;&gt;"",K58&lt;&gt;"",O58&lt;&gt;""),"FIELDS PRESENT","MISSING FIELDS"))</x:f>
      </x:c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6" t="str">
        <x:f>IF(A59="","",IF(AND(D59&lt;&gt;"",E59&lt;&gt;"",F59&lt;&gt;"",G59&lt;&gt;"",H59&lt;&gt;"",I59&lt;&gt;"",J59&lt;&gt;"",K59&lt;&gt;"",O59&lt;&gt;""),"FIELDS PRESENT","MISSING FIELDS"))</x:f>
      </x:c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6" t="str">
        <x:f>IF(A60="","",IF(AND(D60&lt;&gt;"",E60&lt;&gt;"",F60&lt;&gt;"",G60&lt;&gt;"",H60&lt;&gt;"",I60&lt;&gt;"",J60&lt;&gt;"",K60&lt;&gt;"",O60&lt;&gt;""),"FIELDS PRESENT","MISSING FIELDS"))</x:f>
      </x:c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6" t="str">
        <x:f>IF(A61="","",IF(AND(D61&lt;&gt;"",E61&lt;&gt;"",F61&lt;&gt;"",G61&lt;&gt;"",H61&lt;&gt;"",I61&lt;&gt;"",J61&lt;&gt;"",K61&lt;&gt;"",O61&lt;&gt;""),"FIELDS PRESENT","MISSING FIELDS"))</x:f>
      </x:c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6" t="str">
        <x:f>IF(A62="","",IF(AND(D62&lt;&gt;"",E62&lt;&gt;"",F62&lt;&gt;"",G62&lt;&gt;"",H62&lt;&gt;"",I62&lt;&gt;"",J62&lt;&gt;"",K62&lt;&gt;"",O62&lt;&gt;""),"FIELDS PRESENT","MISSING FIELDS"))</x:f>
      </x:c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6" t="str">
        <x:f>IF(A63="","",IF(AND(D63&lt;&gt;"",E63&lt;&gt;"",F63&lt;&gt;"",G63&lt;&gt;"",H63&lt;&gt;"",I63&lt;&gt;"",J63&lt;&gt;"",K63&lt;&gt;"",O63&lt;&gt;""),"FIELDS PRESENT","MISSING FIELDS"))</x:f>
      </x:c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6" t="str">
        <x:f>IF(A64="","",IF(AND(D64&lt;&gt;"",E64&lt;&gt;"",F64&lt;&gt;"",G64&lt;&gt;"",H64&lt;&gt;"",I64&lt;&gt;"",J64&lt;&gt;"",K64&lt;&gt;"",O64&lt;&gt;""),"FIELDS PRESENT","MISSING FIELDS"))</x:f>
      </x:c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6" t="str">
        <x:f>IF(A65="","",IF(AND(D65&lt;&gt;"",E65&lt;&gt;"",F65&lt;&gt;"",G65&lt;&gt;"",H65&lt;&gt;"",I65&lt;&gt;"",J65&lt;&gt;"",K65&lt;&gt;"",O65&lt;&gt;""),"FIELDS PRESENT","MISSING FIELDS"))</x:f>
      </x:c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6" t="str">
        <x:f>IF(A66="","",IF(AND(D66&lt;&gt;"",E66&lt;&gt;"",F66&lt;&gt;"",G66&lt;&gt;"",H66&lt;&gt;"",I66&lt;&gt;"",J66&lt;&gt;"",K66&lt;&gt;"",O66&lt;&gt;""),"FIELDS PRESENT","MISSING FIELDS"))</x:f>
      </x:c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6" t="str">
        <x:f>IF(A67="","",IF(AND(D67&lt;&gt;"",E67&lt;&gt;"",F67&lt;&gt;"",G67&lt;&gt;"",H67&lt;&gt;"",I67&lt;&gt;"",J67&lt;&gt;"",K67&lt;&gt;"",O67&lt;&gt;""),"FIELDS PRESENT","MISSING FIELDS"))</x:f>
      </x:c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6" t="str">
        <x:f>IF(A68="","",IF(AND(D68&lt;&gt;"",E68&lt;&gt;"",F68&lt;&gt;"",G68&lt;&gt;"",H68&lt;&gt;"",I68&lt;&gt;"",J68&lt;&gt;"",K68&lt;&gt;"",O68&lt;&gt;""),"FIELDS PRESENT","MISSING FIELDS"))</x:f>
      </x:c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6" t="str">
        <x:f>IF(A69="","",IF(AND(D69&lt;&gt;"",E69&lt;&gt;"",F69&lt;&gt;"",G69&lt;&gt;"",H69&lt;&gt;"",I69&lt;&gt;"",J69&lt;&gt;"",K69&lt;&gt;"",O69&lt;&gt;""),"FIELDS PRESENT","MISSING FIELDS"))</x:f>
      </x:c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6" t="str">
        <x:f>IF(A70="","",IF(AND(D70&lt;&gt;"",E70&lt;&gt;"",F70&lt;&gt;"",G70&lt;&gt;"",H70&lt;&gt;"",I70&lt;&gt;"",J70&lt;&gt;"",K70&lt;&gt;"",O70&lt;&gt;""),"FIELDS PRESENT","MISSING FIELDS"))</x:f>
      </x:c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6" t="str">
        <x:f>IF(A71="","",IF(AND(D71&lt;&gt;"",E71&lt;&gt;"",F71&lt;&gt;"",G71&lt;&gt;"",H71&lt;&gt;"",I71&lt;&gt;"",J71&lt;&gt;"",K71&lt;&gt;"",O71&lt;&gt;""),"FIELDS PRESENT","MISSING FIELDS"))</x:f>
      </x:c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6" t="str">
        <x:f>IF(A72="","",IF(AND(D72&lt;&gt;"",E72&lt;&gt;"",F72&lt;&gt;"",G72&lt;&gt;"",H72&lt;&gt;"",I72&lt;&gt;"",J72&lt;&gt;"",K72&lt;&gt;"",O72&lt;&gt;""),"FIELDS PRESENT","MISSING FIELDS"))</x:f>
      </x:c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6" t="str">
        <x:f>IF(A73="","",IF(AND(D73&lt;&gt;"",E73&lt;&gt;"",F73&lt;&gt;"",G73&lt;&gt;"",H73&lt;&gt;"",I73&lt;&gt;"",J73&lt;&gt;"",K73&lt;&gt;"",O73&lt;&gt;""),"FIELDS PRESENT","MISSING FIELDS"))</x:f>
      </x:c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6" t="str">
        <x:f>IF(A74="","",IF(AND(D74&lt;&gt;"",E74&lt;&gt;"",F74&lt;&gt;"",G74&lt;&gt;"",H74&lt;&gt;"",I74&lt;&gt;"",J74&lt;&gt;"",K74&lt;&gt;"",O74&lt;&gt;""),"FIELDS PRESENT","MISSING FIELDS"))</x:f>
      </x:c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6" t="str">
        <x:f>IF(A75="","",IF(AND(D75&lt;&gt;"",E75&lt;&gt;"",F75&lt;&gt;"",G75&lt;&gt;"",H75&lt;&gt;"",I75&lt;&gt;"",J75&lt;&gt;"",K75&lt;&gt;"",O75&lt;&gt;""),"FIELDS PRESENT","MISSING FIELDS"))</x:f>
      </x:c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6" t="str">
        <x:f>IF(A76="","",IF(AND(D76&lt;&gt;"",E76&lt;&gt;"",F76&lt;&gt;"",G76&lt;&gt;"",H76&lt;&gt;"",I76&lt;&gt;"",J76&lt;&gt;"",K76&lt;&gt;"",O76&lt;&gt;""),"FIELDS PRESENT","MISSING FIELDS"))</x:f>
      </x:c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6" t="str">
        <x:f>IF(A77="","",IF(AND(D77&lt;&gt;"",E77&lt;&gt;"",F77&lt;&gt;"",G77&lt;&gt;"",H77&lt;&gt;"",I77&lt;&gt;"",J77&lt;&gt;"",K77&lt;&gt;"",O77&lt;&gt;""),"FIELDS PRESENT","MISSING FIELDS"))</x:f>
      </x:c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6" t="str">
        <x:f>IF(A78="","",IF(AND(D78&lt;&gt;"",E78&lt;&gt;"",F78&lt;&gt;"",G78&lt;&gt;"",H78&lt;&gt;"",I78&lt;&gt;"",J78&lt;&gt;"",K78&lt;&gt;"",O78&lt;&gt;""),"FIELDS PRESENT","MISSING FIELDS"))</x:f>
      </x:c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6" t="str">
        <x:f>IF(A79="","",IF(AND(D79&lt;&gt;"",E79&lt;&gt;"",F79&lt;&gt;"",G79&lt;&gt;"",H79&lt;&gt;"",I79&lt;&gt;"",J79&lt;&gt;"",K79&lt;&gt;"",O79&lt;&gt;""),"FIELDS PRESENT","MISSING FIELDS"))</x:f>
      </x:c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6" t="str">
        <x:f>IF(A80="","",IF(AND(D80&lt;&gt;"",E80&lt;&gt;"",F80&lt;&gt;"",G80&lt;&gt;"",H80&lt;&gt;"",I80&lt;&gt;"",J80&lt;&gt;"",K80&lt;&gt;"",O80&lt;&gt;""),"FIELDS PRESENT","MISSING FIELDS"))</x:f>
      </x:c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6" t="str">
        <x:f>IF(A81="","",IF(AND(D81&lt;&gt;"",E81&lt;&gt;"",F81&lt;&gt;"",G81&lt;&gt;"",H81&lt;&gt;"",I81&lt;&gt;"",J81&lt;&gt;"",K81&lt;&gt;"",O81&lt;&gt;""),"FIELDS PRESENT","MISSING FIELDS"))</x:f>
      </x:c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6" t="str">
        <x:f>IF(A82="","",IF(AND(D82&lt;&gt;"",E82&lt;&gt;"",F82&lt;&gt;"",G82&lt;&gt;"",H82&lt;&gt;"",I82&lt;&gt;"",J82&lt;&gt;"",K82&lt;&gt;"",O82&lt;&gt;""),"FIELDS PRESENT","MISSING FIELDS"))</x:f>
      </x:c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6" t="str">
        <x:f>IF(A83="","",IF(AND(D83&lt;&gt;"",E83&lt;&gt;"",F83&lt;&gt;"",G83&lt;&gt;"",H83&lt;&gt;"",I83&lt;&gt;"",J83&lt;&gt;"",K83&lt;&gt;"",O83&lt;&gt;""),"FIELDS PRESENT","MISSING FIELDS"))</x:f>
      </x:c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6" t="str">
        <x:f>IF(A84="","",IF(AND(D84&lt;&gt;"",E84&lt;&gt;"",F84&lt;&gt;"",G84&lt;&gt;"",H84&lt;&gt;"",I84&lt;&gt;"",J84&lt;&gt;"",K84&lt;&gt;"",O84&lt;&gt;""),"FIELDS PRESENT","MISSING FIELDS"))</x:f>
      </x:c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6" t="str">
        <x:f>IF(A85="","",IF(AND(D85&lt;&gt;"",E85&lt;&gt;"",F85&lt;&gt;"",G85&lt;&gt;"",H85&lt;&gt;"",I85&lt;&gt;"",J85&lt;&gt;"",K85&lt;&gt;"",O85&lt;&gt;""),"FIELDS PRESENT","MISSING FIELDS"))</x:f>
      </x:c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6" t="str">
        <x:f>IF(A86="","",IF(AND(D86&lt;&gt;"",E86&lt;&gt;"",F86&lt;&gt;"",G86&lt;&gt;"",H86&lt;&gt;"",I86&lt;&gt;"",J86&lt;&gt;"",K86&lt;&gt;"",O86&lt;&gt;""),"FIELDS PRESENT","MISSING FIELDS"))</x:f>
      </x:c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6" t="str">
        <x:f>IF(A87="","",IF(AND(D87&lt;&gt;"",E87&lt;&gt;"",F87&lt;&gt;"",G87&lt;&gt;"",H87&lt;&gt;"",I87&lt;&gt;"",J87&lt;&gt;"",K87&lt;&gt;"",O87&lt;&gt;""),"FIELDS PRESENT","MISSING FIELDS"))</x:f>
      </x:c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6" t="str">
        <x:f>IF(A88="","",IF(AND(D88&lt;&gt;"",E88&lt;&gt;"",F88&lt;&gt;"",G88&lt;&gt;"",H88&lt;&gt;"",I88&lt;&gt;"",J88&lt;&gt;"",K88&lt;&gt;"",O88&lt;&gt;""),"FIELDS PRESENT","MISSING FIELDS"))</x:f>
      </x:c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6" t="str">
        <x:f>IF(A89="","",IF(AND(D89&lt;&gt;"",E89&lt;&gt;"",F89&lt;&gt;"",G89&lt;&gt;"",H89&lt;&gt;"",I89&lt;&gt;"",J89&lt;&gt;"",K89&lt;&gt;"",O89&lt;&gt;""),"FIELDS PRESENT","MISSING FIELDS"))</x:f>
      </x:c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6" t="str">
        <x:f>IF(A90="","",IF(AND(D90&lt;&gt;"",E90&lt;&gt;"",F90&lt;&gt;"",G90&lt;&gt;"",H90&lt;&gt;"",I90&lt;&gt;"",J90&lt;&gt;"",K90&lt;&gt;"",O90&lt;&gt;""),"FIELDS PRESENT","MISSING FIELDS"))</x:f>
      </x:c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6" t="str">
        <x:f>IF(A91="","",IF(AND(D91&lt;&gt;"",E91&lt;&gt;"",F91&lt;&gt;"",G91&lt;&gt;"",H91&lt;&gt;"",I91&lt;&gt;"",J91&lt;&gt;"",K91&lt;&gt;"",O91&lt;&gt;""),"FIELDS PRESENT","MISSING FIELDS"))</x:f>
      </x:c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6" t="str">
        <x:f>IF(A92="","",IF(AND(D92&lt;&gt;"",E92&lt;&gt;"",F92&lt;&gt;"",G92&lt;&gt;"",H92&lt;&gt;"",I92&lt;&gt;"",J92&lt;&gt;"",K92&lt;&gt;"",O92&lt;&gt;""),"FIELDS PRESENT","MISSING FIELDS"))</x:f>
      </x:c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6" t="str">
        <x:f>IF(A93="","",IF(AND(D93&lt;&gt;"",E93&lt;&gt;"",F93&lt;&gt;"",G93&lt;&gt;"",H93&lt;&gt;"",I93&lt;&gt;"",J93&lt;&gt;"",K93&lt;&gt;"",O93&lt;&gt;""),"FIELDS PRESENT","MISSING FIELDS"))</x:f>
      </x:c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6" t="str">
        <x:f>IF(A94="","",IF(AND(D94&lt;&gt;"",E94&lt;&gt;"",F94&lt;&gt;"",G94&lt;&gt;"",H94&lt;&gt;"",I94&lt;&gt;"",J94&lt;&gt;"",K94&lt;&gt;"",O94&lt;&gt;""),"FIELDS PRESENT","MISSING FIELDS"))</x:f>
      </x:c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6" t="str">
        <x:f>IF(A95="","",IF(AND(D95&lt;&gt;"",E95&lt;&gt;"",F95&lt;&gt;"",G95&lt;&gt;"",H95&lt;&gt;"",I95&lt;&gt;"",J95&lt;&gt;"",K95&lt;&gt;"",O95&lt;&gt;""),"FIELDS PRESENT","MISSING FIELDS"))</x:f>
      </x:c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6" t="str">
        <x:f>IF(A96="","",IF(AND(D96&lt;&gt;"",E96&lt;&gt;"",F96&lt;&gt;"",G96&lt;&gt;"",H96&lt;&gt;"",I96&lt;&gt;"",J96&lt;&gt;"",K96&lt;&gt;"",O96&lt;&gt;""),"FIELDS PRESENT","MISSING FIELDS"))</x:f>
      </x:c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6" t="str">
        <x:f>IF(A97="","",IF(AND(D97&lt;&gt;"",E97&lt;&gt;"",F97&lt;&gt;"",G97&lt;&gt;"",H97&lt;&gt;"",I97&lt;&gt;"",J97&lt;&gt;"",K97&lt;&gt;"",O97&lt;&gt;""),"FIELDS PRESENT","MISSING FIELDS"))</x:f>
      </x:c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6" t="str">
        <x:f>IF(A98="","",IF(AND(D98&lt;&gt;"",E98&lt;&gt;"",F98&lt;&gt;"",G98&lt;&gt;"",H98&lt;&gt;"",I98&lt;&gt;"",J98&lt;&gt;"",K98&lt;&gt;"",O98&lt;&gt;""),"FIELDS PRESENT","MISSING FIELDS"))</x:f>
      </x:c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6" t="str">
        <x:f>IF(A99="","",IF(AND(D99&lt;&gt;"",E99&lt;&gt;"",F99&lt;&gt;"",G99&lt;&gt;"",H99&lt;&gt;"",I99&lt;&gt;"",J99&lt;&gt;"",K99&lt;&gt;"",O99&lt;&gt;""),"FIELDS PRESENT","MISSING FIELDS"))</x:f>
      </x:c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6" t="str">
        <x:f>IF(A100="","",IF(AND(D100&lt;&gt;"",E100&lt;&gt;"",F100&lt;&gt;"",G100&lt;&gt;"",H100&lt;&gt;"",I100&lt;&gt;"",J100&lt;&gt;"",K100&lt;&gt;"",O100&lt;&gt;""),"FIELDS PRESENT","MISSING FIELDS"))</x:f>
      </x:c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6" t="str">
        <x:f>IF(A101="","",IF(AND(D101&lt;&gt;"",E101&lt;&gt;"",F101&lt;&gt;"",G101&lt;&gt;"",H101&lt;&gt;"",I101&lt;&gt;"",J101&lt;&gt;"",K101&lt;&gt;"",O101&lt;&gt;""),"FIELDS PRESENT","MISSING FIELDS"))</x:f>
      </x:c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6" t="str">
        <x:f>IF(A102="","",IF(AND(D102&lt;&gt;"",E102&lt;&gt;"",F102&lt;&gt;"",G102&lt;&gt;"",H102&lt;&gt;"",I102&lt;&gt;"",J102&lt;&gt;"",K102&lt;&gt;"",O102&lt;&gt;""),"FIELDS PRESENT","MISSING FIELDS"))</x:f>
      </x:c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6" t="str">
        <x:f>IF(A103="","",IF(AND(D103&lt;&gt;"",E103&lt;&gt;"",F103&lt;&gt;"",G103&lt;&gt;"",H103&lt;&gt;"",I103&lt;&gt;"",J103&lt;&gt;"",K103&lt;&gt;"",O103&lt;&gt;""),"FIELDS PRESENT","MISSING FIELDS"))</x:f>
      </x:c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6" t="str">
        <x:f>IF(A104="","",IF(AND(D104&lt;&gt;"",E104&lt;&gt;"",F104&lt;&gt;"",G104&lt;&gt;"",H104&lt;&gt;"",I104&lt;&gt;"",J104&lt;&gt;"",K104&lt;&gt;"",O104&lt;&gt;""),"FIELDS PRESENT","MISSING FIELDS"))</x:f>
      </x:c>
    </x:row>
  </x:sheetData>
  <x:mergeCells>
    <x:mergeCell ref="A1:Q1"/>
    <x:mergeCell ref="A2:Q2"/>
  </x:mergeCells>
  <x:dataValidations count="2">
    <x:dataValidation type="list" sqref="N5:N104">
      <x:formula1>"Draft,In progress,Review,Closed"</x:formula1>
    </x:dataValidation>
    <x:dataValidation type="list" sqref="O5:O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6ca372ae3a485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4" hidden="0" customWidth="1"/>
    <x:col min="4" max="4" width="38" hidden="0" customWidth="1"/>
    <x:col min="5" max="5" width="34" hidden="0" customWidth="1"/>
    <x:col min="6" max="6" width="38" hidden="0" customWidth="1"/>
    <x:col min="7" max="7" width="24" hidden="0" customWidth="1"/>
    <x:col min="8" max="8" width="28" hidden="0" customWidth="1"/>
    <x:col min="9" max="9" width="28" hidden="0" customWidth="1"/>
    <x:col min="10" max="10" width="24" hidden="0" customWidth="1"/>
    <x:col min="11" max="11" width="18" hidden="0" customWidth="1"/>
    <x:col min="12" max="12" width="25" hidden="0" customWidth="1"/>
    <x:col min="13" max="13" width="30" hidden="0" customWidth="1"/>
    <x:col min="14" max="14" width="38" hidden="0" customWidth="1"/>
  </x:cols>
  <x:sheetData>
    <x:row r="1" ht="32" customHeight="1">
      <x:c r="A1" s="9" t="str">
        <x:v>C | CLAIM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 ht="32" customHeight="1">
      <x:c r="A2" s="13" t="str">
        <x:v>State what is supported, why, and within which boundary. Do not overwrite a superseded claim.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32" customHeight="1">
      <x:c r="A4" s="17" t="str">
        <x:v>Claim_ID</x:v>
      </x:c>
      <x:c r="B4" s="17" t="str">
        <x:v>Episode_ID</x:v>
      </x:c>
      <x:c r="C4" s="17" t="str">
        <x:v>Version</x:v>
      </x:c>
      <x:c r="D4" s="17" t="str">
        <x:v>Proposition</x:v>
      </x:c>
      <x:c r="E4" s="17" t="str">
        <x:v>Principles</x:v>
      </x:c>
      <x:c r="F4" s="17" t="str">
        <x:v>Assumptions</x:v>
      </x:c>
      <x:c r="G4" s="17" t="str">
        <x:v>Model_Ref</x:v>
      </x:c>
      <x:c r="H4" s="17" t="str">
        <x:v>Authority_Ref</x:v>
      </x:c>
      <x:c r="I4" s="17" t="str">
        <x:v>Evidence_Ref</x:v>
      </x:c>
      <x:c r="J4" s="17" t="str">
        <x:v>Status</x:v>
      </x:c>
      <x:c r="K4" s="17" t="str">
        <x:v>Record_Type</x:v>
      </x:c>
      <x:c r="L4" s="17" t="str">
        <x:v>Recorded_At_UTC</x:v>
      </x:c>
      <x:c r="M4" s="17" t="str">
        <x:v>Authorship</x:v>
      </x:c>
      <x:c r="N4" s="17" t="str">
        <x:v>Notes</x:v>
      </x:c>
    </x:row>
    <x:row r="5" ht="54" customHeight="1">
      <x:c r="A5" s="21" t="str">
        <x:v>DEMO-C1</x:v>
      </x:c>
      <x:c r="B5" s="21" t="str">
        <x:v>DEMO-001</x:v>
      </x:c>
      <x:c r="C5" s="21" t="str">
        <x:v>v1</x:v>
      </x:c>
      <x:c r="D5" s="21" t="str">
        <x:v>Predicted runtime 7.20 h at 24 W</x:v>
      </x:c>
      <x:c r="E5" s="21" t="str">
        <x:v>Energy accounting; Wh / W = h</x:v>
      </x:c>
      <x:c r="F5" s="21" t="str">
        <x:v>240 Wh × 0.90 × 0.80 usable; constant load</x:v>
      </x:c>
      <x:c r="G5" s="21" t="str">
        <x:v>ENERGY-DEMO/v1</x:v>
      </x:c>
      <x:c r="H5" s="21" t="str">
        <x:v>Simulated service owner</x:v>
      </x:c>
      <x:c r="I5" s="21" t="str">
        <x:v>Demo!A5:D12</x:v>
      </x:c>
      <x:c r="J5" s="21" t="str">
        <x:v>Superseded</x:v>
      </x:c>
      <x:c r="K5" s="21" t="str">
        <x:v>SYNTHETIC</x:v>
      </x:c>
      <x:c r="L5" s="21" t="n">
        <x:v>46318</x:v>
      </x:c>
      <x:c r="M5" s="21" t="str">
        <x:v>Synthetic teaching design</x:v>
      </x:c>
      <x:c r="N5" s="21" t="str">
        <x:v>v1 retained after scripted discrepancy.</x:v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</x:row>
  </x:sheetData>
  <x:mergeCells>
    <x:mergeCell ref="A1:N1"/>
    <x:mergeCell ref="A2:N2"/>
  </x:mergeCells>
  <x:dataValidations count="2">
    <x:dataValidation type="list" sqref="J5:J104">
      <x:formula1>"Draft,Reviewed,Supported within boundary,Unsupported,Superseded"</x:formula1>
    </x:dataValidation>
    <x:dataValidation type="list" sqref="K5:K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ae54c0f584d5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38" hidden="0" customWidth="1"/>
    <x:col min="5" max="5" width="38" hidden="0" customWidth="1"/>
    <x:col min="6" max="6" width="13" hidden="0" customWidth="1"/>
    <x:col min="7" max="7" width="38" hidden="0" customWidth="1"/>
    <x:col min="8" max="8" width="25" hidden="0" customWidth="1"/>
    <x:col min="9" max="9" width="28" hidden="0" customWidth="1"/>
    <x:col min="10" max="10" width="18" hidden="0" customWidth="1"/>
    <x:col min="11" max="11" width="25" hidden="0" customWidth="1"/>
    <x:col min="12" max="12" width="38" hidden="0" customWidth="1"/>
    <x:col min="13" max="13" width="24" hidden="0" customWidth="1"/>
  </x:cols>
  <x:sheetData>
    <x:row r="1" ht="32" customHeight="1">
      <x:c r="A1" s="9" t="str">
        <x:v>E | EVENT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32" customHeight="1">
      <x:c r="A2" s="13" t="str">
        <x:v>Observation is not explanation. Record measurement method, units, uncertainty basis, source, and time.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2" customHeight="1">
      <x:c r="A4" s="17" t="str">
        <x:v>Event_ID</x:v>
      </x:c>
      <x:c r="B4" s="17" t="str">
        <x:v>Episode_ID</x:v>
      </x:c>
      <x:c r="C4" s="17" t="str">
        <x:v>Claim_Version_Ref</x:v>
      </x:c>
      <x:c r="D4" s="17" t="str">
        <x:v>Observed_State</x:v>
      </x:c>
      <x:c r="E4" s="17" t="str">
        <x:v>Method</x:v>
      </x:c>
      <x:c r="F4" s="17" t="str">
        <x:v>Units</x:v>
      </x:c>
      <x:c r="G4" s="17" t="str">
        <x:v>Uncertainty_Basis</x:v>
      </x:c>
      <x:c r="H4" s="17" t="str">
        <x:v>Observed_At_UTC</x:v>
      </x:c>
      <x:c r="I4" s="17" t="str">
        <x:v>Evidence_Ref</x:v>
      </x:c>
      <x:c r="J4" s="17" t="str">
        <x:v>Record_Type</x:v>
      </x:c>
      <x:c r="K4" s="17" t="str">
        <x:v>Recorded_At_UTC</x:v>
      </x:c>
      <x:c r="L4" s="17" t="str">
        <x:v>Notes</x:v>
      </x:c>
      <x:c r="M4" s="17" t="str">
        <x:v>Episode_Link</x:v>
      </x:c>
    </x:row>
    <x:row r="5" ht="54" customHeight="1">
      <x:c r="A5" s="21" t="str">
        <x:v>DEMO-E1</x:v>
      </x:c>
      <x:c r="B5" s="21" t="str">
        <x:v>DEMO-001</x:v>
      </x:c>
      <x:c r="C5" s="21" t="str">
        <x:v>DEMO-C1/v1</x:v>
      </x:c>
      <x:c r="D5" s="21" t="str">
        <x:v>Load 36 W rather than assumed 24 W</x:v>
      </x:c>
      <x:c r="E5" s="21" t="str">
        <x:v>Scripted teaching input; no instrument</x:v>
      </x:c>
      <x:c r="F5" s="21" t="str">
        <x:v>W</x:v>
      </x:c>
      <x:c r="G5" s="21" t="str">
        <x:v>Not a measured uncertainty distribution</x:v>
      </x:c>
      <x:c r="H5" s="21" t="n">
        <x:v>46318.00069444445</x:v>
      </x:c>
      <x:c r="I5" s="21" t="str">
        <x:v>Demo!A11:D12</x:v>
      </x:c>
      <x:c r="J5" s="21" t="str">
        <x:v>SYNTHETIC</x:v>
      </x:c>
      <x:c r="K5" s="21" t="n">
        <x:v>46318.00069444445</x:v>
      </x:c>
      <x:c r="L5" s="21" t="str">
        <x:v>No empirical causal inference.</x:v>
      </x:c>
      <x:c r="M5" s="26" t="str">
        <x:f>IF(A5="","",IF(COUNTIF(Episodes!$A$5:$A$104,B5)=1,"EPISODE FOUND","CHECK EPISODE ID"))</x:f>
        <x:v>EPISODE FOUND</x:v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6" t="str">
        <x:f>IF(A6="","",IF(COUNTIF(Episodes!$A$5:$A$104,B6)=1,"EPISODE FOUND","CHECK EPISODE ID"))</x:f>
      </x:c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6" t="str">
        <x:f>IF(A7="","",IF(COUNTIF(Episodes!$A$5:$A$104,B7)=1,"EPISODE FOUND","CHECK EPISODE ID"))</x:f>
      </x:c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6" t="str">
        <x:f>IF(A8="","",IF(COUNTIF(Episodes!$A$5:$A$104,B8)=1,"EPISODE FOUND","CHECK EPISODE ID"))</x:f>
      </x:c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6" t="str">
        <x:f>IF(A9="","",IF(COUNTIF(Episodes!$A$5:$A$104,B9)=1,"EPISODE FOUND","CHECK EPISODE ID"))</x:f>
      </x:c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6" t="str">
        <x:f>IF(A10="","",IF(COUNTIF(Episodes!$A$5:$A$104,B10)=1,"EPISODE FOUND","CHECK EPISODE ID"))</x:f>
      </x:c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6" t="str">
        <x:f>IF(A11="","",IF(COUNTIF(Episodes!$A$5:$A$104,B11)=1,"EPISODE FOUND","CHECK EPISODE ID"))</x:f>
      </x:c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6" t="str">
        <x:f>IF(A12="","",IF(COUNTIF(Episodes!$A$5:$A$104,B12)=1,"EPISODE FOUND","CHECK EPISODE ID"))</x:f>
      </x:c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6" t="str">
        <x:f>IF(A13="","",IF(COUNTIF(Episodes!$A$5:$A$104,B13)=1,"EPISODE FOUND","CHECK EPISODE ID"))</x:f>
      </x:c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6" t="str">
        <x:f>IF(A14="","",IF(COUNTIF(Episodes!$A$5:$A$104,B14)=1,"EPISODE FOUND","CHECK EPISODE ID"))</x:f>
      </x:c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6" t="str">
        <x:f>IF(A15="","",IF(COUNTIF(Episodes!$A$5:$A$104,B15)=1,"EPISODE FOUND","CHECK EPISODE ID"))</x:f>
      </x:c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6" t="str">
        <x:f>IF(A16="","",IF(COUNTIF(Episodes!$A$5:$A$104,B16)=1,"EPISODE FOUND","CHECK EPISODE ID"))</x:f>
      </x:c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6" t="str">
        <x:f>IF(A17="","",IF(COUNTIF(Episodes!$A$5:$A$104,B17)=1,"EPISODE FOUND","CHECK EPISODE ID"))</x:f>
      </x:c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6" t="str">
        <x:f>IF(A18="","",IF(COUNTIF(Episodes!$A$5:$A$104,B18)=1,"EPISODE FOUND","CHECK EPISODE ID"))</x:f>
      </x:c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6" t="str">
        <x:f>IF(A19="","",IF(COUNTIF(Episodes!$A$5:$A$104,B19)=1,"EPISODE FOUND","CHECK EPISODE ID"))</x:f>
      </x:c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6" t="str">
        <x:f>IF(A20="","",IF(COUNTIF(Episodes!$A$5:$A$104,B20)=1,"EPISODE FOUND","CHECK EPISODE ID"))</x:f>
      </x:c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6" t="str">
        <x:f>IF(A21="","",IF(COUNTIF(Episodes!$A$5:$A$104,B21)=1,"EPISODE FOUND","CHECK EPISODE ID"))</x:f>
      </x:c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6" t="str">
        <x:f>IF(A22="","",IF(COUNTIF(Episodes!$A$5:$A$104,B22)=1,"EPISODE FOUND","CHECK EPISODE ID"))</x:f>
      </x:c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6" t="str">
        <x:f>IF(A23="","",IF(COUNTIF(Episodes!$A$5:$A$104,B23)=1,"EPISODE FOUND","CHECK EPISODE ID"))</x:f>
      </x:c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6" t="str">
        <x:f>IF(A24="","",IF(COUNTIF(Episodes!$A$5:$A$104,B24)=1,"EPISODE FOUND","CHECK EPISODE ID"))</x:f>
      </x:c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6" t="str">
        <x:f>IF(A25="","",IF(COUNTIF(Episodes!$A$5:$A$104,B25)=1,"EPISODE FOUND","CHECK EPISODE ID"))</x:f>
      </x:c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6" t="str">
        <x:f>IF(A26="","",IF(COUNTIF(Episodes!$A$5:$A$104,B26)=1,"EPISODE FOUND","CHECK EPISODE ID"))</x:f>
      </x:c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6" t="str">
        <x:f>IF(A27="","",IF(COUNTIF(Episodes!$A$5:$A$104,B27)=1,"EPISODE FOUND","CHECK EPISODE ID"))</x:f>
      </x:c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6" t="str">
        <x:f>IF(A28="","",IF(COUNTIF(Episodes!$A$5:$A$104,B28)=1,"EPISODE FOUND","CHECK EPISODE ID"))</x:f>
      </x:c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6" t="str">
        <x:f>IF(A29="","",IF(COUNTIF(Episodes!$A$5:$A$104,B29)=1,"EPISODE FOUND","CHECK EPISODE ID"))</x:f>
      </x:c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6" t="str">
        <x:f>IF(A30="","",IF(COUNTIF(Episodes!$A$5:$A$104,B30)=1,"EPISODE FOUND","CHECK EPISODE ID"))</x:f>
      </x:c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6" t="str">
        <x:f>IF(A31="","",IF(COUNTIF(Episodes!$A$5:$A$104,B31)=1,"EPISODE FOUND","CHECK EPISODE ID"))</x:f>
      </x:c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6" t="str">
        <x:f>IF(A32="","",IF(COUNTIF(Episodes!$A$5:$A$104,B32)=1,"EPISODE FOUND","CHECK EPISODE ID"))</x:f>
      </x:c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6" t="str">
        <x:f>IF(A33="","",IF(COUNTIF(Episodes!$A$5:$A$104,B33)=1,"EPISODE FOUND","CHECK EPISODE ID"))</x:f>
      </x:c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6" t="str">
        <x:f>IF(A34="","",IF(COUNTIF(Episodes!$A$5:$A$104,B34)=1,"EPISODE FOUND","CHECK EPISODE ID"))</x:f>
      </x:c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6" t="str">
        <x:f>IF(A35="","",IF(COUNTIF(Episodes!$A$5:$A$104,B35)=1,"EPISODE FOUND","CHECK EPISODE ID"))</x:f>
      </x:c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6" t="str">
        <x:f>IF(A36="","",IF(COUNTIF(Episodes!$A$5:$A$104,B36)=1,"EPISODE FOUND","CHECK EPISODE ID"))</x:f>
      </x:c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6" t="str">
        <x:f>IF(A37="","",IF(COUNTIF(Episodes!$A$5:$A$104,B37)=1,"EPISODE FOUND","CHECK EPISODE ID"))</x:f>
      </x:c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6" t="str">
        <x:f>IF(A38="","",IF(COUNTIF(Episodes!$A$5:$A$104,B38)=1,"EPISODE FOUND","CHECK EPISODE ID"))</x:f>
      </x:c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6" t="str">
        <x:f>IF(A39="","",IF(COUNTIF(Episodes!$A$5:$A$104,B39)=1,"EPISODE FOUND","CHECK EPISODE ID"))</x:f>
      </x:c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6" t="str">
        <x:f>IF(A40="","",IF(COUNTIF(Episodes!$A$5:$A$104,B40)=1,"EPISODE FOUND","CHECK EPISODE ID"))</x:f>
      </x:c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6" t="str">
        <x:f>IF(A41="","",IF(COUNTIF(Episodes!$A$5:$A$104,B41)=1,"EPISODE FOUND","CHECK EPISODE ID"))</x:f>
      </x:c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6" t="str">
        <x:f>IF(A42="","",IF(COUNTIF(Episodes!$A$5:$A$104,B42)=1,"EPISODE FOUND","CHECK EPISODE ID"))</x:f>
      </x:c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6" t="str">
        <x:f>IF(A43="","",IF(COUNTIF(Episodes!$A$5:$A$104,B43)=1,"EPISODE FOUND","CHECK EPISODE ID"))</x:f>
      </x:c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6" t="str">
        <x:f>IF(A44="","",IF(COUNTIF(Episodes!$A$5:$A$104,B44)=1,"EPISODE FOUND","CHECK EPISODE ID"))</x:f>
      </x:c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6" t="str">
        <x:f>IF(A45="","",IF(COUNTIF(Episodes!$A$5:$A$104,B45)=1,"EPISODE FOUND","CHECK EPISODE ID"))</x:f>
      </x:c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6" t="str">
        <x:f>IF(A46="","",IF(COUNTIF(Episodes!$A$5:$A$104,B46)=1,"EPISODE FOUND","CHECK EPISODE ID"))</x:f>
      </x:c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6" t="str">
        <x:f>IF(A47="","",IF(COUNTIF(Episodes!$A$5:$A$104,B47)=1,"EPISODE FOUND","CHECK EPISODE ID"))</x:f>
      </x:c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6" t="str">
        <x:f>IF(A48="","",IF(COUNTIF(Episodes!$A$5:$A$104,B48)=1,"EPISODE FOUND","CHECK EPISODE ID"))</x:f>
      </x:c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6" t="str">
        <x:f>IF(A49="","",IF(COUNTIF(Episodes!$A$5:$A$104,B49)=1,"EPISODE FOUND","CHECK EPISODE ID"))</x:f>
      </x:c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6" t="str">
        <x:f>IF(A50="","",IF(COUNTIF(Episodes!$A$5:$A$104,B50)=1,"EPISODE FOUND","CHECK EPISODE ID"))</x:f>
      </x:c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6" t="str">
        <x:f>IF(A51="","",IF(COUNTIF(Episodes!$A$5:$A$104,B51)=1,"EPISODE FOUND","CHECK EPISODE ID"))</x:f>
      </x:c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6" t="str">
        <x:f>IF(A52="","",IF(COUNTIF(Episodes!$A$5:$A$104,B52)=1,"EPISODE FOUND","CHECK EPISODE ID"))</x:f>
      </x:c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6" t="str">
        <x:f>IF(A53="","",IF(COUNTIF(Episodes!$A$5:$A$104,B53)=1,"EPISODE FOUND","CHECK EPISODE ID"))</x:f>
      </x:c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6" t="str">
        <x:f>IF(A54="","",IF(COUNTIF(Episodes!$A$5:$A$104,B54)=1,"EPISODE FOUND","CHECK EPISODE ID"))</x:f>
      </x:c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6" t="str">
        <x:f>IF(A55="","",IF(COUNTIF(Episodes!$A$5:$A$104,B55)=1,"EPISODE FOUND","CHECK EPISODE ID"))</x:f>
      </x:c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6" t="str">
        <x:f>IF(A56="","",IF(COUNTIF(Episodes!$A$5:$A$104,B56)=1,"EPISODE FOUND","CHECK EPISODE ID"))</x:f>
      </x:c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6" t="str">
        <x:f>IF(A57="","",IF(COUNTIF(Episodes!$A$5:$A$104,B57)=1,"EPISODE FOUND","CHECK EPISODE ID"))</x:f>
      </x:c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6" t="str">
        <x:f>IF(A58="","",IF(COUNTIF(Episodes!$A$5:$A$104,B58)=1,"EPISODE FOUND","CHECK EPISODE ID"))</x:f>
      </x:c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6" t="str">
        <x:f>IF(A59="","",IF(COUNTIF(Episodes!$A$5:$A$104,B59)=1,"EPISODE FOUND","CHECK EPISODE ID"))</x:f>
      </x:c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6" t="str">
        <x:f>IF(A60="","",IF(COUNTIF(Episodes!$A$5:$A$104,B60)=1,"EPISODE FOUND","CHECK EPISODE ID"))</x:f>
      </x:c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6" t="str">
        <x:f>IF(A61="","",IF(COUNTIF(Episodes!$A$5:$A$104,B61)=1,"EPISODE FOUND","CHECK EPISODE ID"))</x:f>
      </x:c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6" t="str">
        <x:f>IF(A62="","",IF(COUNTIF(Episodes!$A$5:$A$104,B62)=1,"EPISODE FOUND","CHECK EPISODE ID"))</x:f>
      </x:c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6" t="str">
        <x:f>IF(A63="","",IF(COUNTIF(Episodes!$A$5:$A$104,B63)=1,"EPISODE FOUND","CHECK EPISODE ID"))</x:f>
      </x:c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6" t="str">
        <x:f>IF(A64="","",IF(COUNTIF(Episodes!$A$5:$A$104,B64)=1,"EPISODE FOUND","CHECK EPISODE ID"))</x:f>
      </x:c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6" t="str">
        <x:f>IF(A65="","",IF(COUNTIF(Episodes!$A$5:$A$104,B65)=1,"EPISODE FOUND","CHECK EPISODE ID"))</x:f>
      </x:c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6" t="str">
        <x:f>IF(A66="","",IF(COUNTIF(Episodes!$A$5:$A$104,B66)=1,"EPISODE FOUND","CHECK EPISODE ID"))</x:f>
      </x:c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6" t="str">
        <x:f>IF(A67="","",IF(COUNTIF(Episodes!$A$5:$A$104,B67)=1,"EPISODE FOUND","CHECK EPISODE ID"))</x:f>
      </x:c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6" t="str">
        <x:f>IF(A68="","",IF(COUNTIF(Episodes!$A$5:$A$104,B68)=1,"EPISODE FOUND","CHECK EPISODE ID"))</x:f>
      </x:c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6" t="str">
        <x:f>IF(A69="","",IF(COUNTIF(Episodes!$A$5:$A$104,B69)=1,"EPISODE FOUND","CHECK EPISODE ID"))</x:f>
      </x:c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6" t="str">
        <x:f>IF(A70="","",IF(COUNTIF(Episodes!$A$5:$A$104,B70)=1,"EPISODE FOUND","CHECK EPISODE ID"))</x:f>
      </x:c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6" t="str">
        <x:f>IF(A71="","",IF(COUNTIF(Episodes!$A$5:$A$104,B71)=1,"EPISODE FOUND","CHECK EPISODE ID"))</x:f>
      </x:c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6" t="str">
        <x:f>IF(A72="","",IF(COUNTIF(Episodes!$A$5:$A$104,B72)=1,"EPISODE FOUND","CHECK EPISODE ID"))</x:f>
      </x:c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6" t="str">
        <x:f>IF(A73="","",IF(COUNTIF(Episodes!$A$5:$A$104,B73)=1,"EPISODE FOUND","CHECK EPISODE ID"))</x:f>
      </x:c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6" t="str">
        <x:f>IF(A74="","",IF(COUNTIF(Episodes!$A$5:$A$104,B74)=1,"EPISODE FOUND","CHECK EPISODE ID"))</x:f>
      </x:c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6" t="str">
        <x:f>IF(A75="","",IF(COUNTIF(Episodes!$A$5:$A$104,B75)=1,"EPISODE FOUND","CHECK EPISODE ID"))</x:f>
      </x:c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6" t="str">
        <x:f>IF(A76="","",IF(COUNTIF(Episodes!$A$5:$A$104,B76)=1,"EPISODE FOUND","CHECK EPISODE ID"))</x:f>
      </x:c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6" t="str">
        <x:f>IF(A77="","",IF(COUNTIF(Episodes!$A$5:$A$104,B77)=1,"EPISODE FOUND","CHECK EPISODE ID"))</x:f>
      </x:c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6" t="str">
        <x:f>IF(A78="","",IF(COUNTIF(Episodes!$A$5:$A$104,B78)=1,"EPISODE FOUND","CHECK EPISODE ID"))</x:f>
      </x:c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6" t="str">
        <x:f>IF(A79="","",IF(COUNTIF(Episodes!$A$5:$A$104,B79)=1,"EPISODE FOUND","CHECK EPISODE ID"))</x:f>
      </x:c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6" t="str">
        <x:f>IF(A80="","",IF(COUNTIF(Episodes!$A$5:$A$104,B80)=1,"EPISODE FOUND","CHECK EPISODE ID"))</x:f>
      </x:c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6" t="str">
        <x:f>IF(A81="","",IF(COUNTIF(Episodes!$A$5:$A$104,B81)=1,"EPISODE FOUND","CHECK EPISODE ID"))</x:f>
      </x:c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6" t="str">
        <x:f>IF(A82="","",IF(COUNTIF(Episodes!$A$5:$A$104,B82)=1,"EPISODE FOUND","CHECK EPISODE ID"))</x:f>
      </x:c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6" t="str">
        <x:f>IF(A83="","",IF(COUNTIF(Episodes!$A$5:$A$104,B83)=1,"EPISODE FOUND","CHECK EPISODE ID"))</x:f>
      </x:c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6" t="str">
        <x:f>IF(A84="","",IF(COUNTIF(Episodes!$A$5:$A$104,B84)=1,"EPISODE FOUND","CHECK EPISODE ID"))</x:f>
      </x:c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6" t="str">
        <x:f>IF(A85="","",IF(COUNTIF(Episodes!$A$5:$A$104,B85)=1,"EPISODE FOUND","CHECK EPISODE ID"))</x:f>
      </x:c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6" t="str">
        <x:f>IF(A86="","",IF(COUNTIF(Episodes!$A$5:$A$104,B86)=1,"EPISODE FOUND","CHECK EPISODE ID"))</x:f>
      </x:c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6" t="str">
        <x:f>IF(A87="","",IF(COUNTIF(Episodes!$A$5:$A$104,B87)=1,"EPISODE FOUND","CHECK EPISODE ID"))</x:f>
      </x:c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6" t="str">
        <x:f>IF(A88="","",IF(COUNTIF(Episodes!$A$5:$A$104,B88)=1,"EPISODE FOUND","CHECK EPISODE ID"))</x:f>
      </x:c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6" t="str">
        <x:f>IF(A89="","",IF(COUNTIF(Episodes!$A$5:$A$104,B89)=1,"EPISODE FOUND","CHECK EPISODE ID"))</x:f>
      </x:c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6" t="str">
        <x:f>IF(A90="","",IF(COUNTIF(Episodes!$A$5:$A$104,B90)=1,"EPISODE FOUND","CHECK EPISODE ID"))</x:f>
      </x:c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6" t="str">
        <x:f>IF(A91="","",IF(COUNTIF(Episodes!$A$5:$A$104,B91)=1,"EPISODE FOUND","CHECK EPISODE ID"))</x:f>
      </x:c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6" t="str">
        <x:f>IF(A92="","",IF(COUNTIF(Episodes!$A$5:$A$104,B92)=1,"EPISODE FOUND","CHECK EPISODE ID"))</x:f>
      </x:c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6" t="str">
        <x:f>IF(A93="","",IF(COUNTIF(Episodes!$A$5:$A$104,B93)=1,"EPISODE FOUND","CHECK EPISODE ID"))</x:f>
      </x:c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6" t="str">
        <x:f>IF(A94="","",IF(COUNTIF(Episodes!$A$5:$A$104,B94)=1,"EPISODE FOUND","CHECK EPISODE ID"))</x:f>
      </x:c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6" t="str">
        <x:f>IF(A95="","",IF(COUNTIF(Episodes!$A$5:$A$104,B95)=1,"EPISODE FOUND","CHECK EPISODE ID"))</x:f>
      </x:c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6" t="str">
        <x:f>IF(A96="","",IF(COUNTIF(Episodes!$A$5:$A$104,B96)=1,"EPISODE FOUND","CHECK EPISODE ID"))</x:f>
      </x:c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6" t="str">
        <x:f>IF(A97="","",IF(COUNTIF(Episodes!$A$5:$A$104,B97)=1,"EPISODE FOUND","CHECK EPISODE ID"))</x:f>
      </x:c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6" t="str">
        <x:f>IF(A98="","",IF(COUNTIF(Episodes!$A$5:$A$104,B98)=1,"EPISODE FOUND","CHECK EPISODE ID"))</x:f>
      </x:c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6" t="str">
        <x:f>IF(A99="","",IF(COUNTIF(Episodes!$A$5:$A$104,B99)=1,"EPISODE FOUND","CHECK EPISODE ID"))</x:f>
      </x:c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6" t="str">
        <x:f>IF(A100="","",IF(COUNTIF(Episodes!$A$5:$A$104,B100)=1,"EPISODE FOUND","CHECK EPISODE ID"))</x:f>
      </x:c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6" t="str">
        <x:f>IF(A101="","",IF(COUNTIF(Episodes!$A$5:$A$104,B101)=1,"EPISODE FOUND","CHECK EPISODE ID"))</x:f>
      </x:c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6" t="str">
        <x:f>IF(A102="","",IF(COUNTIF(Episodes!$A$5:$A$104,B102)=1,"EPISODE FOUND","CHECK EPISODE ID"))</x:f>
      </x:c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6" t="str">
        <x:f>IF(A103="","",IF(COUNTIF(Episodes!$A$5:$A$104,B103)=1,"EPISODE FOUND","CHECK EPISODE ID"))</x:f>
      </x:c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6" t="str">
        <x:f>IF(A104="","",IF(COUNTIF(Episodes!$A$5:$A$104,B104)=1,"EPISODE FOUND","CHECK EPISODE ID"))</x:f>
      </x:c>
    </x:row>
  </x:sheetData>
  <x:mergeCells>
    <x:mergeCell ref="A1:M1"/>
    <x:mergeCell ref="A2:M2"/>
  </x:mergeCells>
  <x:dataValidations count="1">
    <x:dataValidation type="list" sqref="J5:J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f950c5728c4b5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26" hidden="0" customWidth="1"/>
    <x:col min="5" max="5" width="38" hidden="0" customWidth="1"/>
    <x:col min="6" max="6" width="26" hidden="0" customWidth="1"/>
    <x:col min="7" max="7" width="24" hidden="0" customWidth="1"/>
    <x:col min="8" max="8" width="25" hidden="0" customWidth="1"/>
    <x:col min="9" max="9" width="18" hidden="0" customWidth="1"/>
    <x:col min="10" max="10" width="40" hidden="0" customWidth="1"/>
    <x:col min="11" max="11" width="21" hidden="0" customWidth="1"/>
    <x:col min="12" max="12" width="21" hidden="0" customWidth="1"/>
  </x:cols>
  <x:sheetData>
    <x:row r="1" ht="32" customHeight="1">
      <x:c r="A1" s="9" t="str">
        <x:v>R | REVIEW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32" customHeight="1">
      <x:c r="A2" s="13" t="str">
        <x:v>A discrepancy triggers review, not automatic blame or certainty. Burden fields are actual minutes only, never estimated results.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2" customHeight="1">
      <x:c r="A4" s="17" t="str">
        <x:v>Review_ID</x:v>
      </x:c>
      <x:c r="B4" s="17" t="str">
        <x:v>Episode_ID</x:v>
      </x:c>
      <x:c r="C4" s="17" t="str">
        <x:v>Claim_Version_Ref</x:v>
      </x:c>
      <x:c r="D4" s="17" t="str">
        <x:v>Evidence_IDs</x:v>
      </x:c>
      <x:c r="E4" s="17" t="str">
        <x:v>Finding</x:v>
      </x:c>
      <x:c r="F4" s="17" t="str">
        <x:v>Reviewer_Role</x:v>
      </x:c>
      <x:c r="G4" s="17" t="str">
        <x:v>Decision</x:v>
      </x:c>
      <x:c r="H4" s="17" t="str">
        <x:v>Reviewed_At_UTC</x:v>
      </x:c>
      <x:c r="I4" s="17" t="str">
        <x:v>Record_Type</x:v>
      </x:c>
      <x:c r="J4" s="17" t="str">
        <x:v>Alternatives</x:v>
      </x:c>
      <x:c r="K4" s="17" t="str">
        <x:v>Learner_Minutes</x:v>
      </x:c>
      <x:c r="L4" s="17" t="str">
        <x:v>Reviewer_Minutes</x:v>
      </x:c>
    </x:row>
    <x:row r="5" ht="54" customHeight="1">
      <x:c r="A5" s="21" t="str">
        <x:v>DEMO-R1</x:v>
      </x:c>
      <x:c r="B5" s="21" t="str">
        <x:v>DEMO-001</x:v>
      </x:c>
      <x:c r="C5" s="21" t="str">
        <x:v>DEMO-C1/v1</x:v>
      </x:c>
      <x:c r="D5" s="21" t="str">
        <x:v>DEMO-E1</x:v>
      </x:c>
      <x:c r="E5" s="21" t="str">
        <x:v>Load assumption invalid in scripted case</x:v>
      </x:c>
      <x:c r="F5" s="21" t="str">
        <x:v>Simulated reviewer</x:v>
      </x:c>
      <x:c r="G5" s="21" t="str">
        <x:v>Patch required</x:v>
      </x:c>
      <x:c r="H5" s="21" t="n">
        <x:v>46318.001388888886</x:v>
      </x:c>
      <x:c r="I5" s="21" t="str">
        <x:v>SYNTHETIC</x:v>
      </x:c>
      <x:c r="J5" s="21" t="str">
        <x:v>Check instrument and omitted background load before a real causal claim.</x:v>
      </x:c>
      <x:c r="K5" s="21"/>
      <x:c r="L5" s="21"/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</x:sheetData>
  <x:mergeCells>
    <x:mergeCell ref="A1:L1"/>
    <x:mergeCell ref="A2:L2"/>
  </x:mergeCells>
  <x:dataValidations count="2">
    <x:dataValidation type="list" sqref="G5:G104">
      <x:formula1>"Supported within boundary,Patch required,Unsupported,More evidence needed"</x:formula1>
    </x:dataValidation>
    <x:dataValidation type="list" sqref="I5:I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4bc255efad4fd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0" hidden="0" customWidth="1"/>
    <x:col min="5" max="5" width="26" hidden="0" customWidth="1"/>
    <x:col min="6" max="6" width="26" hidden="0" customWidth="1"/>
    <x:col min="7" max="7" width="27" hidden="0" customWidth="1"/>
    <x:col min="8" max="8" width="25" hidden="0" customWidth="1"/>
    <x:col min="9" max="9" width="22" hidden="0" customWidth="1"/>
    <x:col min="10" max="10" width="18" hidden="0" customWidth="1"/>
    <x:col min="11" max="11" width="38" hidden="0" customWidth="1"/>
    <x:col min="12" max="12" width="38" hidden="0" customWidth="1"/>
  </x:cols>
  <x:sheetData>
    <x:row r="1" ht="32" customHeight="1">
      <x:c r="A1" s="9" t="str">
        <x:v>P | PATCH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32" customHeight="1">
      <x:c r="A2" s="13" t="str">
        <x:v>A proposal is not an application. Preserve who approved exactly which change and how to reverse it.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2" customHeight="1">
      <x:c r="A4" s="17" t="str">
        <x:v>Patch_ID</x:v>
      </x:c>
      <x:c r="B4" s="17" t="str">
        <x:v>Episode_ID</x:v>
      </x:c>
      <x:c r="C4" s="17" t="str">
        <x:v>Review_ID</x:v>
      </x:c>
      <x:c r="D4" s="17" t="str">
        <x:v>Proposed_Change</x:v>
      </x:c>
      <x:c r="E4" s="17" t="str">
        <x:v>From_Version</x:v>
      </x:c>
      <x:c r="F4" s="17" t="str">
        <x:v>To_Version</x:v>
      </x:c>
      <x:c r="G4" s="17" t="str">
        <x:v>Approver_Role</x:v>
      </x:c>
      <x:c r="H4" s="17" t="str">
        <x:v>Approved_At_UTC</x:v>
      </x:c>
      <x:c r="I4" s="17" t="str">
        <x:v>Status</x:v>
      </x:c>
      <x:c r="J4" s="17" t="str">
        <x:v>Record_Type</x:v>
      </x:c>
      <x:c r="K4" s="17" t="str">
        <x:v>Rollback_Ref</x:v>
      </x:c>
      <x:c r="L4" s="17" t="str">
        <x:v>Notes</x:v>
      </x:c>
    </x:row>
    <x:row r="5" ht="54" customHeight="1">
      <x:c r="A5" s="21" t="str">
        <x:v>DEMO-P1</x:v>
      </x:c>
      <x:c r="B5" s="21" t="str">
        <x:v>DEMO-001</x:v>
      </x:c>
      <x:c r="C5" s="21" t="str">
        <x:v>DEMO-R1</x:v>
      </x:c>
      <x:c r="D5" s="21" t="str">
        <x:v>Reduce nonessential demand; set load and energy bounds</x:v>
      </x:c>
      <x:c r="E5" s="21" t="str">
        <x:v>ENERGY-DEMO/v1</x:v>
      </x:c>
      <x:c r="F5" s="21" t="str">
        <x:v>ENERGY-DEMO/v2</x:v>
      </x:c>
      <x:c r="G5" s="21" t="str">
        <x:v>Simulated service owner</x:v>
      </x:c>
      <x:c r="H5" s="21" t="n">
        <x:v>46318.00208333333</x:v>
      </x:c>
      <x:c r="I5" s="21" t="str">
        <x:v>Approved</x:v>
      </x:c>
      <x:c r="J5" s="21" t="str">
        <x:v>SYNTHETIC</x:v>
      </x:c>
      <x:c r="K5" s="21" t="str">
        <x:v>Restore previous simulated service schedule</x:v>
      </x:c>
      <x:c r="L5" s="21" t="str">
        <x:v>Approval exists only within the teaching scenario.</x:v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</x:sheetData>
  <x:mergeCells>
    <x:mergeCell ref="A1:L1"/>
    <x:mergeCell ref="A2:L2"/>
  </x:mergeCells>
  <x:dataValidations count="2">
    <x:dataValidation type="list" sqref="I5:I104">
      <x:formula1>"Proposed,Reviewed,Approved,Rejected,Superseded"</x:formula1>
    </x:dataValidation>
    <x:dataValidation type="list" sqref="J5:J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4e39c1e21c45fa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25" hidden="0" customWidth="1"/>
    <x:col min="6" max="6" width="24" hidden="0" customWidth="1"/>
    <x:col min="7" max="7" width="40" hidden="0" customWidth="1"/>
    <x:col min="8" max="8" width="30" hidden="0" customWidth="1"/>
    <x:col min="9" max="9" width="26" hidden="0" customWidth="1"/>
    <x:col min="10" max="10" width="28" hidden="0" customWidth="1"/>
    <x:col min="11" max="11" width="18" hidden="0" customWidth="1"/>
    <x:col min="12" max="12" width="38" hidden="0" customWidth="1"/>
    <x:col min="13" max="13" width="27" hidden="0" customWidth="1"/>
  </x:cols>
  <x:sheetData>
    <x:row r="1" ht="32" customHeight="1">
      <x:c r="A1" s="9" t="str">
        <x:v>A | APPLY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32" customHeight="1">
      <x:c r="A2" s="13" t="str">
        <x:v>Record actual application and separate verification. A formula gate checks fields, not whether an action occurred.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2" customHeight="1">
      <x:c r="A4" s="17" t="str">
        <x:v>Apply_ID</x:v>
      </x:c>
      <x:c r="B4" s="17" t="str">
        <x:v>Episode_ID</x:v>
      </x:c>
      <x:c r="C4" s="17" t="str">
        <x:v>Patch_ID</x:v>
      </x:c>
      <x:c r="D4" s="17" t="str">
        <x:v>Applied_Version</x:v>
      </x:c>
      <x:c r="E4" s="17" t="str">
        <x:v>Applied_At_UTC</x:v>
      </x:c>
      <x:c r="F4" s="17" t="str">
        <x:v>Actor_Role</x:v>
      </x:c>
      <x:c r="G4" s="17" t="str">
        <x:v>Outcome</x:v>
      </x:c>
      <x:c r="H4" s="17" t="str">
        <x:v>Verification_Evidence</x:v>
      </x:c>
      <x:c r="I4" s="17" t="str">
        <x:v>Verifier_Role</x:v>
      </x:c>
      <x:c r="J4" s="17" t="str">
        <x:v>Status</x:v>
      </x:c>
      <x:c r="K4" s="17" t="str">
        <x:v>Record_Type</x:v>
      </x:c>
      <x:c r="L4" s="17" t="str">
        <x:v>Rollback_Ref</x:v>
      </x:c>
      <x:c r="M4" s="17" t="str">
        <x:v>Approval_Check</x:v>
      </x:c>
    </x:row>
    <x:row r="5" ht="54" customHeight="1">
      <x:c r="A5" s="21" t="str">
        <x:v>DEMO-A1</x:v>
      </x:c>
      <x:c r="B5" s="21" t="str">
        <x:v>DEMO-001</x:v>
      </x:c>
      <x:c r="C5" s="21" t="str">
        <x:v>DEMO-P1</x:v>
      </x:c>
      <x:c r="D5" s="21" t="str">
        <x:v>ENERGY-DEMO/v2</x:v>
      </x:c>
      <x:c r="E5" s="21" t="n">
        <x:v>46318.25208333333</x:v>
      </x:c>
      <x:c r="F5" s="21" t="str">
        <x:v>Simulated operator</x:v>
      </x:c>
      <x:c r="G5" s="21" t="str">
        <x:v>6 h at 26 W; 16.8 Wh reserve under assumptions</x:v>
      </x:c>
      <x:c r="H5" s="21" t="str">
        <x:v>Demo!A15:D25</x:v>
      </x:c>
      <x:c r="I5" s="21" t="str">
        <x:v>Simulated reviewer</x:v>
      </x:c>
      <x:c r="J5" s="21" t="str">
        <x:v>Verified within boundary</x:v>
      </x:c>
      <x:c r="K5" s="21" t="str">
        <x:v>SYNTHETIC</x:v>
      </x:c>
      <x:c r="L5" s="21" t="str">
        <x:v>Previous simulated service schedule</x:v>
      </x:c>
      <x:c r="M5" s="26" t="str">
        <x:f>IF(A5="","",IF(COUNTIFS(P!$A$5:$A$104,C5,P!$B$5:$B$104,B5,P!$F$5:$F$104,D5,P!$I$5:$I$104,"Approved",P!$J$5:$J$104,K5,P!$G$5:$G$104,"&lt;&gt;",P!$H$5:$H$104,"&lt;&gt;")=1,"APPROVAL ROW FOUND","HOLD / CHECK PATCH"))</x:f>
        <x:v>APPROVAL ROW FOUND</x:v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6" t="str">
        <x:f>IF(A6="","",IF(COUNTIFS(P!$A$5:$A$104,C6,P!$B$5:$B$104,B6,P!$F$5:$F$104,D6,P!$I$5:$I$104,"Approved",P!$J$5:$J$104,K6,P!$G$5:$G$104,"&lt;&gt;",P!$H$5:$H$104,"&lt;&gt;")=1,"APPROVAL ROW FOUND","HOLD / CHECK PATCH"))</x:f>
      </x:c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6" t="str">
        <x:f>IF(A7="","",IF(COUNTIFS(P!$A$5:$A$104,C7,P!$B$5:$B$104,B7,P!$F$5:$F$104,D7,P!$I$5:$I$104,"Approved",P!$J$5:$J$104,K7,P!$G$5:$G$104,"&lt;&gt;",P!$H$5:$H$104,"&lt;&gt;")=1,"APPROVAL ROW FOUND","HOLD / CHECK PATCH"))</x:f>
      </x:c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6" t="str">
        <x:f>IF(A8="","",IF(COUNTIFS(P!$A$5:$A$104,C8,P!$B$5:$B$104,B8,P!$F$5:$F$104,D8,P!$I$5:$I$104,"Approved",P!$J$5:$J$104,K8,P!$G$5:$G$104,"&lt;&gt;",P!$H$5:$H$104,"&lt;&gt;")=1,"APPROVAL ROW FOUND","HOLD / CHECK PATCH"))</x:f>
      </x:c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6" t="str">
        <x:f>IF(A9="","",IF(COUNTIFS(P!$A$5:$A$104,C9,P!$B$5:$B$104,B9,P!$F$5:$F$104,D9,P!$I$5:$I$104,"Approved",P!$J$5:$J$104,K9,P!$G$5:$G$104,"&lt;&gt;",P!$H$5:$H$104,"&lt;&gt;")=1,"APPROVAL ROW FOUND","HOLD / CHECK PATCH"))</x:f>
      </x:c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6" t="str">
        <x:f>IF(A10="","",IF(COUNTIFS(P!$A$5:$A$104,C10,P!$B$5:$B$104,B10,P!$F$5:$F$104,D10,P!$I$5:$I$104,"Approved",P!$J$5:$J$104,K10,P!$G$5:$G$104,"&lt;&gt;",P!$H$5:$H$104,"&lt;&gt;")=1,"APPROVAL ROW FOUND","HOLD / CHECK PATCH"))</x:f>
      </x:c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6" t="str">
        <x:f>IF(A11="","",IF(COUNTIFS(P!$A$5:$A$104,C11,P!$B$5:$B$104,B11,P!$F$5:$F$104,D11,P!$I$5:$I$104,"Approved",P!$J$5:$J$104,K11,P!$G$5:$G$104,"&lt;&gt;",P!$H$5:$H$104,"&lt;&gt;")=1,"APPROVAL ROW FOUND","HOLD / CHECK PATCH"))</x:f>
      </x:c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6" t="str">
        <x:f>IF(A12="","",IF(COUNTIFS(P!$A$5:$A$104,C12,P!$B$5:$B$104,B12,P!$F$5:$F$104,D12,P!$I$5:$I$104,"Approved",P!$J$5:$J$104,K12,P!$G$5:$G$104,"&lt;&gt;",P!$H$5:$H$104,"&lt;&gt;")=1,"APPROVAL ROW FOUND","HOLD / CHECK PATCH"))</x:f>
      </x:c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6" t="str">
        <x:f>IF(A13="","",IF(COUNTIFS(P!$A$5:$A$104,C13,P!$B$5:$B$104,B13,P!$F$5:$F$104,D13,P!$I$5:$I$104,"Approved",P!$J$5:$J$104,K13,P!$G$5:$G$104,"&lt;&gt;",P!$H$5:$H$104,"&lt;&gt;")=1,"APPROVAL ROW FOUND","HOLD / CHECK PATCH"))</x:f>
      </x:c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6" t="str">
        <x:f>IF(A14="","",IF(COUNTIFS(P!$A$5:$A$104,C14,P!$B$5:$B$104,B14,P!$F$5:$F$104,D14,P!$I$5:$I$104,"Approved",P!$J$5:$J$104,K14,P!$G$5:$G$104,"&lt;&gt;",P!$H$5:$H$104,"&lt;&gt;")=1,"APPROVAL ROW FOUND","HOLD / CHECK PATCH"))</x:f>
      </x:c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6" t="str">
        <x:f>IF(A15="","",IF(COUNTIFS(P!$A$5:$A$104,C15,P!$B$5:$B$104,B15,P!$F$5:$F$104,D15,P!$I$5:$I$104,"Approved",P!$J$5:$J$104,K15,P!$G$5:$G$104,"&lt;&gt;",P!$H$5:$H$104,"&lt;&gt;")=1,"APPROVAL ROW FOUND","HOLD / CHECK PATCH"))</x:f>
      </x:c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6" t="str">
        <x:f>IF(A16="","",IF(COUNTIFS(P!$A$5:$A$104,C16,P!$B$5:$B$104,B16,P!$F$5:$F$104,D16,P!$I$5:$I$104,"Approved",P!$J$5:$J$104,K16,P!$G$5:$G$104,"&lt;&gt;",P!$H$5:$H$104,"&lt;&gt;")=1,"APPROVAL ROW FOUND","HOLD / CHECK PATCH"))</x:f>
      </x:c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6" t="str">
        <x:f>IF(A17="","",IF(COUNTIFS(P!$A$5:$A$104,C17,P!$B$5:$B$104,B17,P!$F$5:$F$104,D17,P!$I$5:$I$104,"Approved",P!$J$5:$J$104,K17,P!$G$5:$G$104,"&lt;&gt;",P!$H$5:$H$104,"&lt;&gt;")=1,"APPROVAL ROW FOUND","HOLD / CHECK PATCH"))</x:f>
      </x:c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6" t="str">
        <x:f>IF(A18="","",IF(COUNTIFS(P!$A$5:$A$104,C18,P!$B$5:$B$104,B18,P!$F$5:$F$104,D18,P!$I$5:$I$104,"Approved",P!$J$5:$J$104,K18,P!$G$5:$G$104,"&lt;&gt;",P!$H$5:$H$104,"&lt;&gt;")=1,"APPROVAL ROW FOUND","HOLD / CHECK PATCH"))</x:f>
      </x:c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6" t="str">
        <x:f>IF(A19="","",IF(COUNTIFS(P!$A$5:$A$104,C19,P!$B$5:$B$104,B19,P!$F$5:$F$104,D19,P!$I$5:$I$104,"Approved",P!$J$5:$J$104,K19,P!$G$5:$G$104,"&lt;&gt;",P!$H$5:$H$104,"&lt;&gt;")=1,"APPROVAL ROW FOUND","HOLD / CHECK PATCH"))</x:f>
      </x:c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6" t="str">
        <x:f>IF(A20="","",IF(COUNTIFS(P!$A$5:$A$104,C20,P!$B$5:$B$104,B20,P!$F$5:$F$104,D20,P!$I$5:$I$104,"Approved",P!$J$5:$J$104,K20,P!$G$5:$G$104,"&lt;&gt;",P!$H$5:$H$104,"&lt;&gt;")=1,"APPROVAL ROW FOUND","HOLD / CHECK PATCH"))</x:f>
      </x:c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6" t="str">
        <x:f>IF(A21="","",IF(COUNTIFS(P!$A$5:$A$104,C21,P!$B$5:$B$104,B21,P!$F$5:$F$104,D21,P!$I$5:$I$104,"Approved",P!$J$5:$J$104,K21,P!$G$5:$G$104,"&lt;&gt;",P!$H$5:$H$104,"&lt;&gt;")=1,"APPROVAL ROW FOUND","HOLD / CHECK PATCH"))</x:f>
      </x:c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6" t="str">
        <x:f>IF(A22="","",IF(COUNTIFS(P!$A$5:$A$104,C22,P!$B$5:$B$104,B22,P!$F$5:$F$104,D22,P!$I$5:$I$104,"Approved",P!$J$5:$J$104,K22,P!$G$5:$G$104,"&lt;&gt;",P!$H$5:$H$104,"&lt;&gt;")=1,"APPROVAL ROW FOUND","HOLD / CHECK PATCH"))</x:f>
      </x:c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6" t="str">
        <x:f>IF(A23="","",IF(COUNTIFS(P!$A$5:$A$104,C23,P!$B$5:$B$104,B23,P!$F$5:$F$104,D23,P!$I$5:$I$104,"Approved",P!$J$5:$J$104,K23,P!$G$5:$G$104,"&lt;&gt;",P!$H$5:$H$104,"&lt;&gt;")=1,"APPROVAL ROW FOUND","HOLD / CHECK PATCH"))</x:f>
      </x:c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6" t="str">
        <x:f>IF(A24="","",IF(COUNTIFS(P!$A$5:$A$104,C24,P!$B$5:$B$104,B24,P!$F$5:$F$104,D24,P!$I$5:$I$104,"Approved",P!$J$5:$J$104,K24,P!$G$5:$G$104,"&lt;&gt;",P!$H$5:$H$104,"&lt;&gt;")=1,"APPROVAL ROW FOUND","HOLD / CHECK PATCH"))</x:f>
      </x:c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6" t="str">
        <x:f>IF(A25="","",IF(COUNTIFS(P!$A$5:$A$104,C25,P!$B$5:$B$104,B25,P!$F$5:$F$104,D25,P!$I$5:$I$104,"Approved",P!$J$5:$J$104,K25,P!$G$5:$G$104,"&lt;&gt;",P!$H$5:$H$104,"&lt;&gt;")=1,"APPROVAL ROW FOUND","HOLD / CHECK PATCH"))</x:f>
      </x:c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6" t="str">
        <x:f>IF(A26="","",IF(COUNTIFS(P!$A$5:$A$104,C26,P!$B$5:$B$104,B26,P!$F$5:$F$104,D26,P!$I$5:$I$104,"Approved",P!$J$5:$J$104,K26,P!$G$5:$G$104,"&lt;&gt;",P!$H$5:$H$104,"&lt;&gt;")=1,"APPROVAL ROW FOUND","HOLD / CHECK PATCH"))</x:f>
      </x:c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6" t="str">
        <x:f>IF(A27="","",IF(COUNTIFS(P!$A$5:$A$104,C27,P!$B$5:$B$104,B27,P!$F$5:$F$104,D27,P!$I$5:$I$104,"Approved",P!$J$5:$J$104,K27,P!$G$5:$G$104,"&lt;&gt;",P!$H$5:$H$104,"&lt;&gt;")=1,"APPROVAL ROW FOUND","HOLD / CHECK PATCH"))</x:f>
      </x:c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6" t="str">
        <x:f>IF(A28="","",IF(COUNTIFS(P!$A$5:$A$104,C28,P!$B$5:$B$104,B28,P!$F$5:$F$104,D28,P!$I$5:$I$104,"Approved",P!$J$5:$J$104,K28,P!$G$5:$G$104,"&lt;&gt;",P!$H$5:$H$104,"&lt;&gt;")=1,"APPROVAL ROW FOUND","HOLD / CHECK PATCH"))</x:f>
      </x:c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6" t="str">
        <x:f>IF(A29="","",IF(COUNTIFS(P!$A$5:$A$104,C29,P!$B$5:$B$104,B29,P!$F$5:$F$104,D29,P!$I$5:$I$104,"Approved",P!$J$5:$J$104,K29,P!$G$5:$G$104,"&lt;&gt;",P!$H$5:$H$104,"&lt;&gt;")=1,"APPROVAL ROW FOUND","HOLD / CHECK PATCH"))</x:f>
      </x:c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6" t="str">
        <x:f>IF(A30="","",IF(COUNTIFS(P!$A$5:$A$104,C30,P!$B$5:$B$104,B30,P!$F$5:$F$104,D30,P!$I$5:$I$104,"Approved",P!$J$5:$J$104,K30,P!$G$5:$G$104,"&lt;&gt;",P!$H$5:$H$104,"&lt;&gt;")=1,"APPROVAL ROW FOUND","HOLD / CHECK PATCH"))</x:f>
      </x:c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6" t="str">
        <x:f>IF(A31="","",IF(COUNTIFS(P!$A$5:$A$104,C31,P!$B$5:$B$104,B31,P!$F$5:$F$104,D31,P!$I$5:$I$104,"Approved",P!$J$5:$J$104,K31,P!$G$5:$G$104,"&lt;&gt;",P!$H$5:$H$104,"&lt;&gt;")=1,"APPROVAL ROW FOUND","HOLD / CHECK PATCH"))</x:f>
      </x:c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6" t="str">
        <x:f>IF(A32="","",IF(COUNTIFS(P!$A$5:$A$104,C32,P!$B$5:$B$104,B32,P!$F$5:$F$104,D32,P!$I$5:$I$104,"Approved",P!$J$5:$J$104,K32,P!$G$5:$G$104,"&lt;&gt;",P!$H$5:$H$104,"&lt;&gt;")=1,"APPROVAL ROW FOUND","HOLD / CHECK PATCH"))</x:f>
      </x:c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6" t="str">
        <x:f>IF(A33="","",IF(COUNTIFS(P!$A$5:$A$104,C33,P!$B$5:$B$104,B33,P!$F$5:$F$104,D33,P!$I$5:$I$104,"Approved",P!$J$5:$J$104,K33,P!$G$5:$G$104,"&lt;&gt;",P!$H$5:$H$104,"&lt;&gt;")=1,"APPROVAL ROW FOUND","HOLD / CHECK PATCH"))</x:f>
      </x:c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6" t="str">
        <x:f>IF(A34="","",IF(COUNTIFS(P!$A$5:$A$104,C34,P!$B$5:$B$104,B34,P!$F$5:$F$104,D34,P!$I$5:$I$104,"Approved",P!$J$5:$J$104,K34,P!$G$5:$G$104,"&lt;&gt;",P!$H$5:$H$104,"&lt;&gt;")=1,"APPROVAL ROW FOUND","HOLD / CHECK PATCH"))</x:f>
      </x:c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6" t="str">
        <x:f>IF(A35="","",IF(COUNTIFS(P!$A$5:$A$104,C35,P!$B$5:$B$104,B35,P!$F$5:$F$104,D35,P!$I$5:$I$104,"Approved",P!$J$5:$J$104,K35,P!$G$5:$G$104,"&lt;&gt;",P!$H$5:$H$104,"&lt;&gt;")=1,"APPROVAL ROW FOUND","HOLD / CHECK PATCH"))</x:f>
      </x:c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6" t="str">
        <x:f>IF(A36="","",IF(COUNTIFS(P!$A$5:$A$104,C36,P!$B$5:$B$104,B36,P!$F$5:$F$104,D36,P!$I$5:$I$104,"Approved",P!$J$5:$J$104,K36,P!$G$5:$G$104,"&lt;&gt;",P!$H$5:$H$104,"&lt;&gt;")=1,"APPROVAL ROW FOUND","HOLD / CHECK PATCH"))</x:f>
      </x:c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6" t="str">
        <x:f>IF(A37="","",IF(COUNTIFS(P!$A$5:$A$104,C37,P!$B$5:$B$104,B37,P!$F$5:$F$104,D37,P!$I$5:$I$104,"Approved",P!$J$5:$J$104,K37,P!$G$5:$G$104,"&lt;&gt;",P!$H$5:$H$104,"&lt;&gt;")=1,"APPROVAL ROW FOUND","HOLD / CHECK PATCH"))</x:f>
      </x:c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6" t="str">
        <x:f>IF(A38="","",IF(COUNTIFS(P!$A$5:$A$104,C38,P!$B$5:$B$104,B38,P!$F$5:$F$104,D38,P!$I$5:$I$104,"Approved",P!$J$5:$J$104,K38,P!$G$5:$G$104,"&lt;&gt;",P!$H$5:$H$104,"&lt;&gt;")=1,"APPROVAL ROW FOUND","HOLD / CHECK PATCH"))</x:f>
      </x:c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6" t="str">
        <x:f>IF(A39="","",IF(COUNTIFS(P!$A$5:$A$104,C39,P!$B$5:$B$104,B39,P!$F$5:$F$104,D39,P!$I$5:$I$104,"Approved",P!$J$5:$J$104,K39,P!$G$5:$G$104,"&lt;&gt;",P!$H$5:$H$104,"&lt;&gt;")=1,"APPROVAL ROW FOUND","HOLD / CHECK PATCH"))</x:f>
      </x:c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6" t="str">
        <x:f>IF(A40="","",IF(COUNTIFS(P!$A$5:$A$104,C40,P!$B$5:$B$104,B40,P!$F$5:$F$104,D40,P!$I$5:$I$104,"Approved",P!$J$5:$J$104,K40,P!$G$5:$G$104,"&lt;&gt;",P!$H$5:$H$104,"&lt;&gt;")=1,"APPROVAL ROW FOUND","HOLD / CHECK PATCH"))</x:f>
      </x:c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6" t="str">
        <x:f>IF(A41="","",IF(COUNTIFS(P!$A$5:$A$104,C41,P!$B$5:$B$104,B41,P!$F$5:$F$104,D41,P!$I$5:$I$104,"Approved",P!$J$5:$J$104,K41,P!$G$5:$G$104,"&lt;&gt;",P!$H$5:$H$104,"&lt;&gt;")=1,"APPROVAL ROW FOUND","HOLD / CHECK PATCH"))</x:f>
      </x:c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6" t="str">
        <x:f>IF(A42="","",IF(COUNTIFS(P!$A$5:$A$104,C42,P!$B$5:$B$104,B42,P!$F$5:$F$104,D42,P!$I$5:$I$104,"Approved",P!$J$5:$J$104,K42,P!$G$5:$G$104,"&lt;&gt;",P!$H$5:$H$104,"&lt;&gt;")=1,"APPROVAL ROW FOUND","HOLD / CHECK PATCH"))</x:f>
      </x:c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6" t="str">
        <x:f>IF(A43="","",IF(COUNTIFS(P!$A$5:$A$104,C43,P!$B$5:$B$104,B43,P!$F$5:$F$104,D43,P!$I$5:$I$104,"Approved",P!$J$5:$J$104,K43,P!$G$5:$G$104,"&lt;&gt;",P!$H$5:$H$104,"&lt;&gt;")=1,"APPROVAL ROW FOUND","HOLD / CHECK PATCH"))</x:f>
      </x:c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6" t="str">
        <x:f>IF(A44="","",IF(COUNTIFS(P!$A$5:$A$104,C44,P!$B$5:$B$104,B44,P!$F$5:$F$104,D44,P!$I$5:$I$104,"Approved",P!$J$5:$J$104,K44,P!$G$5:$G$104,"&lt;&gt;",P!$H$5:$H$104,"&lt;&gt;")=1,"APPROVAL ROW FOUND","HOLD / CHECK PATCH"))</x:f>
      </x:c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6" t="str">
        <x:f>IF(A45="","",IF(COUNTIFS(P!$A$5:$A$104,C45,P!$B$5:$B$104,B45,P!$F$5:$F$104,D45,P!$I$5:$I$104,"Approved",P!$J$5:$J$104,K45,P!$G$5:$G$104,"&lt;&gt;",P!$H$5:$H$104,"&lt;&gt;")=1,"APPROVAL ROW FOUND","HOLD / CHECK PATCH"))</x:f>
      </x:c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6" t="str">
        <x:f>IF(A46="","",IF(COUNTIFS(P!$A$5:$A$104,C46,P!$B$5:$B$104,B46,P!$F$5:$F$104,D46,P!$I$5:$I$104,"Approved",P!$J$5:$J$104,K46,P!$G$5:$G$104,"&lt;&gt;",P!$H$5:$H$104,"&lt;&gt;")=1,"APPROVAL ROW FOUND","HOLD / CHECK PATCH"))</x:f>
      </x:c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6" t="str">
        <x:f>IF(A47="","",IF(COUNTIFS(P!$A$5:$A$104,C47,P!$B$5:$B$104,B47,P!$F$5:$F$104,D47,P!$I$5:$I$104,"Approved",P!$J$5:$J$104,K47,P!$G$5:$G$104,"&lt;&gt;",P!$H$5:$H$104,"&lt;&gt;")=1,"APPROVAL ROW FOUND","HOLD / CHECK PATCH"))</x:f>
      </x:c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6" t="str">
        <x:f>IF(A48="","",IF(COUNTIFS(P!$A$5:$A$104,C48,P!$B$5:$B$104,B48,P!$F$5:$F$104,D48,P!$I$5:$I$104,"Approved",P!$J$5:$J$104,K48,P!$G$5:$G$104,"&lt;&gt;",P!$H$5:$H$104,"&lt;&gt;")=1,"APPROVAL ROW FOUND","HOLD / CHECK PATCH"))</x:f>
      </x:c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6" t="str">
        <x:f>IF(A49="","",IF(COUNTIFS(P!$A$5:$A$104,C49,P!$B$5:$B$104,B49,P!$F$5:$F$104,D49,P!$I$5:$I$104,"Approved",P!$J$5:$J$104,K49,P!$G$5:$G$104,"&lt;&gt;",P!$H$5:$H$104,"&lt;&gt;")=1,"APPROVAL ROW FOUND","HOLD / CHECK PATCH"))</x:f>
      </x:c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6" t="str">
        <x:f>IF(A50="","",IF(COUNTIFS(P!$A$5:$A$104,C50,P!$B$5:$B$104,B50,P!$F$5:$F$104,D50,P!$I$5:$I$104,"Approved",P!$J$5:$J$104,K50,P!$G$5:$G$104,"&lt;&gt;",P!$H$5:$H$104,"&lt;&gt;")=1,"APPROVAL ROW FOUND","HOLD / CHECK PATCH"))</x:f>
      </x:c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6" t="str">
        <x:f>IF(A51="","",IF(COUNTIFS(P!$A$5:$A$104,C51,P!$B$5:$B$104,B51,P!$F$5:$F$104,D51,P!$I$5:$I$104,"Approved",P!$J$5:$J$104,K51,P!$G$5:$G$104,"&lt;&gt;",P!$H$5:$H$104,"&lt;&gt;")=1,"APPROVAL ROW FOUND","HOLD / CHECK PATCH"))</x:f>
      </x:c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6" t="str">
        <x:f>IF(A52="","",IF(COUNTIFS(P!$A$5:$A$104,C52,P!$B$5:$B$104,B52,P!$F$5:$F$104,D52,P!$I$5:$I$104,"Approved",P!$J$5:$J$104,K52,P!$G$5:$G$104,"&lt;&gt;",P!$H$5:$H$104,"&lt;&gt;")=1,"APPROVAL ROW FOUND","HOLD / CHECK PATCH"))</x:f>
      </x:c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6" t="str">
        <x:f>IF(A53="","",IF(COUNTIFS(P!$A$5:$A$104,C53,P!$B$5:$B$104,B53,P!$F$5:$F$104,D53,P!$I$5:$I$104,"Approved",P!$J$5:$J$104,K53,P!$G$5:$G$104,"&lt;&gt;",P!$H$5:$H$104,"&lt;&gt;")=1,"APPROVAL ROW FOUND","HOLD / CHECK PATCH"))</x:f>
      </x:c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6" t="str">
        <x:f>IF(A54="","",IF(COUNTIFS(P!$A$5:$A$104,C54,P!$B$5:$B$104,B54,P!$F$5:$F$104,D54,P!$I$5:$I$104,"Approved",P!$J$5:$J$104,K54,P!$G$5:$G$104,"&lt;&gt;",P!$H$5:$H$104,"&lt;&gt;")=1,"APPROVAL ROW FOUND","HOLD / CHECK PATCH"))</x:f>
      </x:c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6" t="str">
        <x:f>IF(A55="","",IF(COUNTIFS(P!$A$5:$A$104,C55,P!$B$5:$B$104,B55,P!$F$5:$F$104,D55,P!$I$5:$I$104,"Approved",P!$J$5:$J$104,K55,P!$G$5:$G$104,"&lt;&gt;",P!$H$5:$H$104,"&lt;&gt;")=1,"APPROVAL ROW FOUND","HOLD / CHECK PATCH"))</x:f>
      </x:c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6" t="str">
        <x:f>IF(A56="","",IF(COUNTIFS(P!$A$5:$A$104,C56,P!$B$5:$B$104,B56,P!$F$5:$F$104,D56,P!$I$5:$I$104,"Approved",P!$J$5:$J$104,K56,P!$G$5:$G$104,"&lt;&gt;",P!$H$5:$H$104,"&lt;&gt;")=1,"APPROVAL ROW FOUND","HOLD / CHECK PATCH"))</x:f>
      </x:c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6" t="str">
        <x:f>IF(A57="","",IF(COUNTIFS(P!$A$5:$A$104,C57,P!$B$5:$B$104,B57,P!$F$5:$F$104,D57,P!$I$5:$I$104,"Approved",P!$J$5:$J$104,K57,P!$G$5:$G$104,"&lt;&gt;",P!$H$5:$H$104,"&lt;&gt;")=1,"APPROVAL ROW FOUND","HOLD / CHECK PATCH"))</x:f>
      </x:c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6" t="str">
        <x:f>IF(A58="","",IF(COUNTIFS(P!$A$5:$A$104,C58,P!$B$5:$B$104,B58,P!$F$5:$F$104,D58,P!$I$5:$I$104,"Approved",P!$J$5:$J$104,K58,P!$G$5:$G$104,"&lt;&gt;",P!$H$5:$H$104,"&lt;&gt;")=1,"APPROVAL ROW FOUND","HOLD / CHECK PATCH"))</x:f>
      </x:c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6" t="str">
        <x:f>IF(A59="","",IF(COUNTIFS(P!$A$5:$A$104,C59,P!$B$5:$B$104,B59,P!$F$5:$F$104,D59,P!$I$5:$I$104,"Approved",P!$J$5:$J$104,K59,P!$G$5:$G$104,"&lt;&gt;",P!$H$5:$H$104,"&lt;&gt;")=1,"APPROVAL ROW FOUND","HOLD / CHECK PATCH"))</x:f>
      </x:c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6" t="str">
        <x:f>IF(A60="","",IF(COUNTIFS(P!$A$5:$A$104,C60,P!$B$5:$B$104,B60,P!$F$5:$F$104,D60,P!$I$5:$I$104,"Approved",P!$J$5:$J$104,K60,P!$G$5:$G$104,"&lt;&gt;",P!$H$5:$H$104,"&lt;&gt;")=1,"APPROVAL ROW FOUND","HOLD / CHECK PATCH"))</x:f>
      </x:c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6" t="str">
        <x:f>IF(A61="","",IF(COUNTIFS(P!$A$5:$A$104,C61,P!$B$5:$B$104,B61,P!$F$5:$F$104,D61,P!$I$5:$I$104,"Approved",P!$J$5:$J$104,K61,P!$G$5:$G$104,"&lt;&gt;",P!$H$5:$H$104,"&lt;&gt;")=1,"APPROVAL ROW FOUND","HOLD / CHECK PATCH"))</x:f>
      </x:c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6" t="str">
        <x:f>IF(A62="","",IF(COUNTIFS(P!$A$5:$A$104,C62,P!$B$5:$B$104,B62,P!$F$5:$F$104,D62,P!$I$5:$I$104,"Approved",P!$J$5:$J$104,K62,P!$G$5:$G$104,"&lt;&gt;",P!$H$5:$H$104,"&lt;&gt;")=1,"APPROVAL ROW FOUND","HOLD / CHECK PATCH"))</x:f>
      </x:c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6" t="str">
        <x:f>IF(A63="","",IF(COUNTIFS(P!$A$5:$A$104,C63,P!$B$5:$B$104,B63,P!$F$5:$F$104,D63,P!$I$5:$I$104,"Approved",P!$J$5:$J$104,K63,P!$G$5:$G$104,"&lt;&gt;",P!$H$5:$H$104,"&lt;&gt;")=1,"APPROVAL ROW FOUND","HOLD / CHECK PATCH"))</x:f>
      </x:c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6" t="str">
        <x:f>IF(A64="","",IF(COUNTIFS(P!$A$5:$A$104,C64,P!$B$5:$B$104,B64,P!$F$5:$F$104,D64,P!$I$5:$I$104,"Approved",P!$J$5:$J$104,K64,P!$G$5:$G$104,"&lt;&gt;",P!$H$5:$H$104,"&lt;&gt;")=1,"APPROVAL ROW FOUND","HOLD / CHECK PATCH"))</x:f>
      </x:c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6" t="str">
        <x:f>IF(A65="","",IF(COUNTIFS(P!$A$5:$A$104,C65,P!$B$5:$B$104,B65,P!$F$5:$F$104,D65,P!$I$5:$I$104,"Approved",P!$J$5:$J$104,K65,P!$G$5:$G$104,"&lt;&gt;",P!$H$5:$H$104,"&lt;&gt;")=1,"APPROVAL ROW FOUND","HOLD / CHECK PATCH"))</x:f>
      </x:c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6" t="str">
        <x:f>IF(A66="","",IF(COUNTIFS(P!$A$5:$A$104,C66,P!$B$5:$B$104,B66,P!$F$5:$F$104,D66,P!$I$5:$I$104,"Approved",P!$J$5:$J$104,K66,P!$G$5:$G$104,"&lt;&gt;",P!$H$5:$H$104,"&lt;&gt;")=1,"APPROVAL ROW FOUND","HOLD / CHECK PATCH"))</x:f>
      </x:c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6" t="str">
        <x:f>IF(A67="","",IF(COUNTIFS(P!$A$5:$A$104,C67,P!$B$5:$B$104,B67,P!$F$5:$F$104,D67,P!$I$5:$I$104,"Approved",P!$J$5:$J$104,K67,P!$G$5:$G$104,"&lt;&gt;",P!$H$5:$H$104,"&lt;&gt;")=1,"APPROVAL ROW FOUND","HOLD / CHECK PATCH"))</x:f>
      </x:c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6" t="str">
        <x:f>IF(A68="","",IF(COUNTIFS(P!$A$5:$A$104,C68,P!$B$5:$B$104,B68,P!$F$5:$F$104,D68,P!$I$5:$I$104,"Approved",P!$J$5:$J$104,K68,P!$G$5:$G$104,"&lt;&gt;",P!$H$5:$H$104,"&lt;&gt;")=1,"APPROVAL ROW FOUND","HOLD / CHECK PATCH"))</x:f>
      </x:c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6" t="str">
        <x:f>IF(A69="","",IF(COUNTIFS(P!$A$5:$A$104,C69,P!$B$5:$B$104,B69,P!$F$5:$F$104,D69,P!$I$5:$I$104,"Approved",P!$J$5:$J$104,K69,P!$G$5:$G$104,"&lt;&gt;",P!$H$5:$H$104,"&lt;&gt;")=1,"APPROVAL ROW FOUND","HOLD / CHECK PATCH"))</x:f>
      </x:c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6" t="str">
        <x:f>IF(A70="","",IF(COUNTIFS(P!$A$5:$A$104,C70,P!$B$5:$B$104,B70,P!$F$5:$F$104,D70,P!$I$5:$I$104,"Approved",P!$J$5:$J$104,K70,P!$G$5:$G$104,"&lt;&gt;",P!$H$5:$H$104,"&lt;&gt;")=1,"APPROVAL ROW FOUND","HOLD / CHECK PATCH"))</x:f>
      </x:c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6" t="str">
        <x:f>IF(A71="","",IF(COUNTIFS(P!$A$5:$A$104,C71,P!$B$5:$B$104,B71,P!$F$5:$F$104,D71,P!$I$5:$I$104,"Approved",P!$J$5:$J$104,K71,P!$G$5:$G$104,"&lt;&gt;",P!$H$5:$H$104,"&lt;&gt;")=1,"APPROVAL ROW FOUND","HOLD / CHECK PATCH"))</x:f>
      </x:c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6" t="str">
        <x:f>IF(A72="","",IF(COUNTIFS(P!$A$5:$A$104,C72,P!$B$5:$B$104,B72,P!$F$5:$F$104,D72,P!$I$5:$I$104,"Approved",P!$J$5:$J$104,K72,P!$G$5:$G$104,"&lt;&gt;",P!$H$5:$H$104,"&lt;&gt;")=1,"APPROVAL ROW FOUND","HOLD / CHECK PATCH"))</x:f>
      </x:c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6" t="str">
        <x:f>IF(A73="","",IF(COUNTIFS(P!$A$5:$A$104,C73,P!$B$5:$B$104,B73,P!$F$5:$F$104,D73,P!$I$5:$I$104,"Approved",P!$J$5:$J$104,K73,P!$G$5:$G$104,"&lt;&gt;",P!$H$5:$H$104,"&lt;&gt;")=1,"APPROVAL ROW FOUND","HOLD / CHECK PATCH"))</x:f>
      </x:c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6" t="str">
        <x:f>IF(A74="","",IF(COUNTIFS(P!$A$5:$A$104,C74,P!$B$5:$B$104,B74,P!$F$5:$F$104,D74,P!$I$5:$I$104,"Approved",P!$J$5:$J$104,K74,P!$G$5:$G$104,"&lt;&gt;",P!$H$5:$H$104,"&lt;&gt;")=1,"APPROVAL ROW FOUND","HOLD / CHECK PATCH"))</x:f>
      </x:c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6" t="str">
        <x:f>IF(A75="","",IF(COUNTIFS(P!$A$5:$A$104,C75,P!$B$5:$B$104,B75,P!$F$5:$F$104,D75,P!$I$5:$I$104,"Approved",P!$J$5:$J$104,K75,P!$G$5:$G$104,"&lt;&gt;",P!$H$5:$H$104,"&lt;&gt;")=1,"APPROVAL ROW FOUND","HOLD / CHECK PATCH"))</x:f>
      </x:c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6" t="str">
        <x:f>IF(A76="","",IF(COUNTIFS(P!$A$5:$A$104,C76,P!$B$5:$B$104,B76,P!$F$5:$F$104,D76,P!$I$5:$I$104,"Approved",P!$J$5:$J$104,K76,P!$G$5:$G$104,"&lt;&gt;",P!$H$5:$H$104,"&lt;&gt;")=1,"APPROVAL ROW FOUND","HOLD / CHECK PATCH"))</x:f>
      </x:c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6" t="str">
        <x:f>IF(A77="","",IF(COUNTIFS(P!$A$5:$A$104,C77,P!$B$5:$B$104,B77,P!$F$5:$F$104,D77,P!$I$5:$I$104,"Approved",P!$J$5:$J$104,K77,P!$G$5:$G$104,"&lt;&gt;",P!$H$5:$H$104,"&lt;&gt;")=1,"APPROVAL ROW FOUND","HOLD / CHECK PATCH"))</x:f>
      </x:c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6" t="str">
        <x:f>IF(A78="","",IF(COUNTIFS(P!$A$5:$A$104,C78,P!$B$5:$B$104,B78,P!$F$5:$F$104,D78,P!$I$5:$I$104,"Approved",P!$J$5:$J$104,K78,P!$G$5:$G$104,"&lt;&gt;",P!$H$5:$H$104,"&lt;&gt;")=1,"APPROVAL ROW FOUND","HOLD / CHECK PATCH"))</x:f>
      </x:c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6" t="str">
        <x:f>IF(A79="","",IF(COUNTIFS(P!$A$5:$A$104,C79,P!$B$5:$B$104,B79,P!$F$5:$F$104,D79,P!$I$5:$I$104,"Approved",P!$J$5:$J$104,K79,P!$G$5:$G$104,"&lt;&gt;",P!$H$5:$H$104,"&lt;&gt;")=1,"APPROVAL ROW FOUND","HOLD / CHECK PATCH"))</x:f>
      </x:c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6" t="str">
        <x:f>IF(A80="","",IF(COUNTIFS(P!$A$5:$A$104,C80,P!$B$5:$B$104,B80,P!$F$5:$F$104,D80,P!$I$5:$I$104,"Approved",P!$J$5:$J$104,K80,P!$G$5:$G$104,"&lt;&gt;",P!$H$5:$H$104,"&lt;&gt;")=1,"APPROVAL ROW FOUND","HOLD / CHECK PATCH"))</x:f>
      </x:c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6" t="str">
        <x:f>IF(A81="","",IF(COUNTIFS(P!$A$5:$A$104,C81,P!$B$5:$B$104,B81,P!$F$5:$F$104,D81,P!$I$5:$I$104,"Approved",P!$J$5:$J$104,K81,P!$G$5:$G$104,"&lt;&gt;",P!$H$5:$H$104,"&lt;&gt;")=1,"APPROVAL ROW FOUND","HOLD / CHECK PATCH"))</x:f>
      </x:c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6" t="str">
        <x:f>IF(A82="","",IF(COUNTIFS(P!$A$5:$A$104,C82,P!$B$5:$B$104,B82,P!$F$5:$F$104,D82,P!$I$5:$I$104,"Approved",P!$J$5:$J$104,K82,P!$G$5:$G$104,"&lt;&gt;",P!$H$5:$H$104,"&lt;&gt;")=1,"APPROVAL ROW FOUND","HOLD / CHECK PATCH"))</x:f>
      </x:c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6" t="str">
        <x:f>IF(A83="","",IF(COUNTIFS(P!$A$5:$A$104,C83,P!$B$5:$B$104,B83,P!$F$5:$F$104,D83,P!$I$5:$I$104,"Approved",P!$J$5:$J$104,K83,P!$G$5:$G$104,"&lt;&gt;",P!$H$5:$H$104,"&lt;&gt;")=1,"APPROVAL ROW FOUND","HOLD / CHECK PATCH"))</x:f>
      </x:c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6" t="str">
        <x:f>IF(A84="","",IF(COUNTIFS(P!$A$5:$A$104,C84,P!$B$5:$B$104,B84,P!$F$5:$F$104,D84,P!$I$5:$I$104,"Approved",P!$J$5:$J$104,K84,P!$G$5:$G$104,"&lt;&gt;",P!$H$5:$H$104,"&lt;&gt;")=1,"APPROVAL ROW FOUND","HOLD / CHECK PATCH"))</x:f>
      </x:c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6" t="str">
        <x:f>IF(A85="","",IF(COUNTIFS(P!$A$5:$A$104,C85,P!$B$5:$B$104,B85,P!$F$5:$F$104,D85,P!$I$5:$I$104,"Approved",P!$J$5:$J$104,K85,P!$G$5:$G$104,"&lt;&gt;",P!$H$5:$H$104,"&lt;&gt;")=1,"APPROVAL ROW FOUND","HOLD / CHECK PATCH"))</x:f>
      </x:c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6" t="str">
        <x:f>IF(A86="","",IF(COUNTIFS(P!$A$5:$A$104,C86,P!$B$5:$B$104,B86,P!$F$5:$F$104,D86,P!$I$5:$I$104,"Approved",P!$J$5:$J$104,K86,P!$G$5:$G$104,"&lt;&gt;",P!$H$5:$H$104,"&lt;&gt;")=1,"APPROVAL ROW FOUND","HOLD / CHECK PATCH"))</x:f>
      </x:c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6" t="str">
        <x:f>IF(A87="","",IF(COUNTIFS(P!$A$5:$A$104,C87,P!$B$5:$B$104,B87,P!$F$5:$F$104,D87,P!$I$5:$I$104,"Approved",P!$J$5:$J$104,K87,P!$G$5:$G$104,"&lt;&gt;",P!$H$5:$H$104,"&lt;&gt;")=1,"APPROVAL ROW FOUND","HOLD / CHECK PATCH"))</x:f>
      </x:c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6" t="str">
        <x:f>IF(A88="","",IF(COUNTIFS(P!$A$5:$A$104,C88,P!$B$5:$B$104,B88,P!$F$5:$F$104,D88,P!$I$5:$I$104,"Approved",P!$J$5:$J$104,K88,P!$G$5:$G$104,"&lt;&gt;",P!$H$5:$H$104,"&lt;&gt;")=1,"APPROVAL ROW FOUND","HOLD / CHECK PATCH"))</x:f>
      </x:c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6" t="str">
        <x:f>IF(A89="","",IF(COUNTIFS(P!$A$5:$A$104,C89,P!$B$5:$B$104,B89,P!$F$5:$F$104,D89,P!$I$5:$I$104,"Approved",P!$J$5:$J$104,K89,P!$G$5:$G$104,"&lt;&gt;",P!$H$5:$H$104,"&lt;&gt;")=1,"APPROVAL ROW FOUND","HOLD / CHECK PATCH"))</x:f>
      </x:c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6" t="str">
        <x:f>IF(A90="","",IF(COUNTIFS(P!$A$5:$A$104,C90,P!$B$5:$B$104,B90,P!$F$5:$F$104,D90,P!$I$5:$I$104,"Approved",P!$J$5:$J$104,K90,P!$G$5:$G$104,"&lt;&gt;",P!$H$5:$H$104,"&lt;&gt;")=1,"APPROVAL ROW FOUND","HOLD / CHECK PATCH"))</x:f>
      </x:c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6" t="str">
        <x:f>IF(A91="","",IF(COUNTIFS(P!$A$5:$A$104,C91,P!$B$5:$B$104,B91,P!$F$5:$F$104,D91,P!$I$5:$I$104,"Approved",P!$J$5:$J$104,K91,P!$G$5:$G$104,"&lt;&gt;",P!$H$5:$H$104,"&lt;&gt;")=1,"APPROVAL ROW FOUND","HOLD / CHECK PATCH"))</x:f>
      </x:c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6" t="str">
        <x:f>IF(A92="","",IF(COUNTIFS(P!$A$5:$A$104,C92,P!$B$5:$B$104,B92,P!$F$5:$F$104,D92,P!$I$5:$I$104,"Approved",P!$J$5:$J$104,K92,P!$G$5:$G$104,"&lt;&gt;",P!$H$5:$H$104,"&lt;&gt;")=1,"APPROVAL ROW FOUND","HOLD / CHECK PATCH"))</x:f>
      </x:c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6" t="str">
        <x:f>IF(A93="","",IF(COUNTIFS(P!$A$5:$A$104,C93,P!$B$5:$B$104,B93,P!$F$5:$F$104,D93,P!$I$5:$I$104,"Approved",P!$J$5:$J$104,K93,P!$G$5:$G$104,"&lt;&gt;",P!$H$5:$H$104,"&lt;&gt;")=1,"APPROVAL ROW FOUND","HOLD / CHECK PATCH"))</x:f>
      </x:c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6" t="str">
        <x:f>IF(A94="","",IF(COUNTIFS(P!$A$5:$A$104,C94,P!$B$5:$B$104,B94,P!$F$5:$F$104,D94,P!$I$5:$I$104,"Approved",P!$J$5:$J$104,K94,P!$G$5:$G$104,"&lt;&gt;",P!$H$5:$H$104,"&lt;&gt;")=1,"APPROVAL ROW FOUND","HOLD / CHECK PATCH"))</x:f>
      </x:c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6" t="str">
        <x:f>IF(A95="","",IF(COUNTIFS(P!$A$5:$A$104,C95,P!$B$5:$B$104,B95,P!$F$5:$F$104,D95,P!$I$5:$I$104,"Approved",P!$J$5:$J$104,K95,P!$G$5:$G$104,"&lt;&gt;",P!$H$5:$H$104,"&lt;&gt;")=1,"APPROVAL ROW FOUND","HOLD / CHECK PATCH"))</x:f>
      </x:c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6" t="str">
        <x:f>IF(A96="","",IF(COUNTIFS(P!$A$5:$A$104,C96,P!$B$5:$B$104,B96,P!$F$5:$F$104,D96,P!$I$5:$I$104,"Approved",P!$J$5:$J$104,K96,P!$G$5:$G$104,"&lt;&gt;",P!$H$5:$H$104,"&lt;&gt;")=1,"APPROVAL ROW FOUND","HOLD / CHECK PATCH"))</x:f>
      </x:c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6" t="str">
        <x:f>IF(A97="","",IF(COUNTIFS(P!$A$5:$A$104,C97,P!$B$5:$B$104,B97,P!$F$5:$F$104,D97,P!$I$5:$I$104,"Approved",P!$J$5:$J$104,K97,P!$G$5:$G$104,"&lt;&gt;",P!$H$5:$H$104,"&lt;&gt;")=1,"APPROVAL ROW FOUND","HOLD / CHECK PATCH"))</x:f>
      </x:c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6" t="str">
        <x:f>IF(A98="","",IF(COUNTIFS(P!$A$5:$A$104,C98,P!$B$5:$B$104,B98,P!$F$5:$F$104,D98,P!$I$5:$I$104,"Approved",P!$J$5:$J$104,K98,P!$G$5:$G$104,"&lt;&gt;",P!$H$5:$H$104,"&lt;&gt;")=1,"APPROVAL ROW FOUND","HOLD / CHECK PATCH"))</x:f>
      </x:c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6" t="str">
        <x:f>IF(A99="","",IF(COUNTIFS(P!$A$5:$A$104,C99,P!$B$5:$B$104,B99,P!$F$5:$F$104,D99,P!$I$5:$I$104,"Approved",P!$J$5:$J$104,K99,P!$G$5:$G$104,"&lt;&gt;",P!$H$5:$H$104,"&lt;&gt;")=1,"APPROVAL ROW FOUND","HOLD / CHECK PATCH"))</x:f>
      </x:c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6" t="str">
        <x:f>IF(A100="","",IF(COUNTIFS(P!$A$5:$A$104,C100,P!$B$5:$B$104,B100,P!$F$5:$F$104,D100,P!$I$5:$I$104,"Approved",P!$J$5:$J$104,K100,P!$G$5:$G$104,"&lt;&gt;",P!$H$5:$H$104,"&lt;&gt;")=1,"APPROVAL ROW FOUND","HOLD / CHECK PATCH"))</x:f>
      </x:c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6" t="str">
        <x:f>IF(A101="","",IF(COUNTIFS(P!$A$5:$A$104,C101,P!$B$5:$B$104,B101,P!$F$5:$F$104,D101,P!$I$5:$I$104,"Approved",P!$J$5:$J$104,K101,P!$G$5:$G$104,"&lt;&gt;",P!$H$5:$H$104,"&lt;&gt;")=1,"APPROVAL ROW FOUND","HOLD / CHECK PATCH"))</x:f>
      </x:c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6" t="str">
        <x:f>IF(A102="","",IF(COUNTIFS(P!$A$5:$A$104,C102,P!$B$5:$B$104,B102,P!$F$5:$F$104,D102,P!$I$5:$I$104,"Approved",P!$J$5:$J$104,K102,P!$G$5:$G$104,"&lt;&gt;",P!$H$5:$H$104,"&lt;&gt;")=1,"APPROVAL ROW FOUND","HOLD / CHECK PATCH"))</x:f>
      </x:c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6" t="str">
        <x:f>IF(A103="","",IF(COUNTIFS(P!$A$5:$A$104,C103,P!$B$5:$B$104,B103,P!$F$5:$F$104,D103,P!$I$5:$I$104,"Approved",P!$J$5:$J$104,K103,P!$G$5:$G$104,"&lt;&gt;",P!$H$5:$H$104,"&lt;&gt;")=1,"APPROVAL ROW FOUND","HOLD / CHECK PATCH"))</x:f>
      </x:c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6" t="str">
        <x:f>IF(A104="","",IF(COUNTIFS(P!$A$5:$A$104,C104,P!$B$5:$B$104,B104,P!$F$5:$F$104,D104,P!$I$5:$I$104,"Approved",P!$J$5:$J$104,K104,P!$G$5:$G$104,"&lt;&gt;",P!$H$5:$H$104,"&lt;&gt;")=1,"APPROVAL ROW FOUND","HOLD / CHECK PATCH"))</x:f>
      </x:c>
    </x:row>
  </x:sheetData>
  <x:mergeCells>
    <x:mergeCell ref="A1:M1"/>
    <x:mergeCell ref="A2:M2"/>
  </x:mergeCells>
  <x:dataValidations count="2">
    <x:dataValidation type="list" sqref="J5:J104">
      <x:formula1>"Pending,Applied,Verified within boundary,Failed,Reverted"</x:formula1>
    </x:dataValidation>
    <x:dataValidation type="list" sqref="K5:K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6b40f0d8e4b3f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18" hidden="0" customWidth="1"/>
    <x:col min="5" max="5" width="19" hidden="0" customWidth="1"/>
    <x:col min="6" max="6" width="20" hidden="0" customWidth="1"/>
    <x:col min="7" max="7" width="2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32" hidden="0" customWidth="1"/>
    <x:col min="16" max="16" width="32" hidden="0" customWidth="1"/>
    <x:col min="17" max="17" width="25" hidden="0" customWidth="1"/>
    <x:col min="18" max="18" width="18" hidden="0" customWidth="1"/>
    <x:col min="19" max="19" width="22" hidden="0" customWidth="1"/>
    <x:col min="20" max="20" width="38" hidden="0" customWidth="1"/>
    <x:col min="21" max="21" width="20" hidden="0" customWidth="1"/>
  </x:cols>
  <x:sheetData>
    <x:row r="1" ht="32" customHeight="1">
      <x:c r="A1" s="9" t="str">
        <x:v>Σ FIRST | ASSESSMENT CAPTURE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</x:row>
    <x:row r="2" ht="32" customHeight="1">
      <x:c r="A2" s="13" t="str">
        <x:v>Enter raw R1/R2 ratings and a separate Adjudicated record. Missing scores remain blank. This is a proposed task rubric, not an intelligence test.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</x:row>
    <x:row r="4" ht="32" customHeight="1">
      <x:c r="A4" s="17" t="str">
        <x:v>Record_ID</x:v>
      </x:c>
      <x:c r="B4" s="17" t="str">
        <x:v>Learner_ID</x:v>
      </x:c>
      <x:c r="C4" s="17" t="str">
        <x:v>Arm</x:v>
      </x:c>
      <x:c r="D4" s="17" t="str">
        <x:v>Occasion</x:v>
      </x:c>
      <x:c r="E4" s="17" t="str">
        <x:v>Mode</x:v>
      </x:c>
      <x:c r="F4" s="17" t="str">
        <x:v>Task_Form</x:v>
      </x:c>
      <x:c r="G4" s="17" t="str">
        <x:v>Rater_ID</x:v>
      </x:c>
      <x:c r="H4" s="17" t="str">
        <x:v>Foundations</x:v>
      </x:c>
      <x:c r="I4" s="17" t="str">
        <x:v>Derivation</x:v>
      </x:c>
      <x:c r="J4" s="17" t="str">
        <x:v>Evidence</x:v>
      </x:c>
      <x:c r="K4" s="17" t="str">
        <x:v>Boundaries</x:v>
      </x:c>
      <x:c r="L4" s="17" t="str">
        <x:v>Revision</x:v>
      </x:c>
      <x:c r="M4" s="17" t="str">
        <x:v>Transfer</x:v>
      </x:c>
      <x:c r="N4" s="17" t="str">
        <x:v>Total_0_24</x:v>
      </x:c>
      <x:c r="O4" s="17" t="str">
        <x:v>Artifact_Ref</x:v>
      </x:c>
      <x:c r="P4" s="17" t="str">
        <x:v>Adjudication_Ref</x:v>
      </x:c>
      <x:c r="Q4" s="17" t="str">
        <x:v>Recorded_At_UTC</x:v>
      </x:c>
      <x:c r="R4" s="17" t="str">
        <x:v>Record_Type</x:v>
      </x:c>
      <x:c r="S4" s="17" t="str">
        <x:v>Protocol_Version</x:v>
      </x:c>
      <x:c r="T4" s="17" t="str">
        <x:v>Notes</x:v>
      </x:c>
      <x:c r="U4" s="17" t="str">
        <x:v>Eligibility</x:v>
      </x:c>
    </x:row>
    <x:row r="5" ht="32" customHeight="1">
      <x:c r="A5" s="21"/>
      <x:c r="B5" s="21"/>
      <x:c r="C5" s="21"/>
      <x:c r="D5" s="21"/>
      <x:c r="E5" s="21"/>
      <x:c r="F5" s="21"/>
      <x:c r="G5" s="21"/>
      <x:c r="H5" s="28"/>
      <x:c r="I5" s="28"/>
      <x:c r="J5" s="28"/>
      <x:c r="K5" s="28"/>
      <x:c r="L5" s="28"/>
      <x:c r="M5" s="28"/>
      <x:c r="N5" s="29" t="str">
        <x:f>IF(A5="","",IF(AND(COUNT(H5:M5)=Start!$B$12,MIN(H5:M5)&gt;=0,MAX(H5:M5)&lt;=Start!$B$11),SUM(H5:M5),""))</x:f>
      </x:c>
      <x:c r="O5" s="21"/>
      <x:c r="P5" s="21"/>
      <x:c r="Q5" s="21"/>
      <x:c r="R5" s="21"/>
      <x:c r="S5" s="21"/>
      <x:c r="T5" s="21"/>
      <x:c r="U5" s="26" t="str">
        <x:f>IF(A5="","",IF(AND(R5="LIVE",G5="Adjudicated",ISNUMBER(N5),B5&lt;&gt;"",C5&lt;&gt;"",D5&lt;&gt;"",E5&lt;&gt;"",F5&lt;&gt;"",O5&lt;&gt;"",P5&lt;&gt;"",Q5&lt;&gt;"",S5&lt;&gt;""),"ELIGIBLE","EXCLUDED"))</x:f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8"/>
      <x:c r="I6" s="28"/>
      <x:c r="J6" s="28"/>
      <x:c r="K6" s="28"/>
      <x:c r="L6" s="28"/>
      <x:c r="M6" s="28"/>
      <x:c r="N6" s="29" t="str">
        <x:f>IF(A6="","",IF(AND(COUNT(H6:M6)=Start!$B$12,MIN(H6:M6)&gt;=0,MAX(H6:M6)&lt;=Start!$B$11),SUM(H6:M6),""))</x:f>
      </x:c>
      <x:c r="O6" s="21"/>
      <x:c r="P6" s="21"/>
      <x:c r="Q6" s="21"/>
      <x:c r="R6" s="21"/>
      <x:c r="S6" s="21"/>
      <x:c r="T6" s="21"/>
      <x:c r="U6" s="26" t="str">
        <x:f>IF(A6="","",IF(AND(R6="LIVE",G6="Adjudicated",ISNUMBER(N6),B6&lt;&gt;"",C6&lt;&gt;"",D6&lt;&gt;"",E6&lt;&gt;"",F6&lt;&gt;"",O6&lt;&gt;"",P6&lt;&gt;"",Q6&lt;&gt;"",S6&lt;&gt;""),"ELIGIBLE","EXCLUDED"))</x:f>
      </x:c>
    </x:row>
    <x:row r="7" ht="32" customHeight="1">
      <x:c r="A7" s="21"/>
      <x:c r="B7" s="21"/>
      <x:c r="C7" s="21"/>
      <x:c r="D7" s="21"/>
      <x:c r="E7" s="21"/>
      <x:c r="F7" s="21"/>
      <x:c r="G7" s="21"/>
      <x:c r="H7" s="28"/>
      <x:c r="I7" s="28"/>
      <x:c r="J7" s="28"/>
      <x:c r="K7" s="28"/>
      <x:c r="L7" s="28"/>
      <x:c r="M7" s="28"/>
      <x:c r="N7" s="29" t="str">
        <x:f>IF(A7="","",IF(AND(COUNT(H7:M7)=Start!$B$12,MIN(H7:M7)&gt;=0,MAX(H7:M7)&lt;=Start!$B$11),SUM(H7:M7),""))</x:f>
      </x:c>
      <x:c r="O7" s="21"/>
      <x:c r="P7" s="21"/>
      <x:c r="Q7" s="21"/>
      <x:c r="R7" s="21"/>
      <x:c r="S7" s="21"/>
      <x:c r="T7" s="21"/>
      <x:c r="U7" s="26" t="str">
        <x:f>IF(A7="","",IF(AND(R7="LIVE",G7="Adjudicated",ISNUMBER(N7),B7&lt;&gt;"",C7&lt;&gt;"",D7&lt;&gt;"",E7&lt;&gt;"",F7&lt;&gt;"",O7&lt;&gt;"",P7&lt;&gt;"",Q7&lt;&gt;"",S7&lt;&gt;""),"ELIGIBLE","EXCLUDED"))</x:f>
      </x:c>
    </x:row>
    <x:row r="8" ht="32" customHeight="1">
      <x:c r="A8" s="21"/>
      <x:c r="B8" s="21"/>
      <x:c r="C8" s="21"/>
      <x:c r="D8" s="21"/>
      <x:c r="E8" s="21"/>
      <x:c r="F8" s="21"/>
      <x:c r="G8" s="21"/>
      <x:c r="H8" s="28"/>
      <x:c r="I8" s="28"/>
      <x:c r="J8" s="28"/>
      <x:c r="K8" s="28"/>
      <x:c r="L8" s="28"/>
      <x:c r="M8" s="28"/>
      <x:c r="N8" s="29" t="str">
        <x:f>IF(A8="","",IF(AND(COUNT(H8:M8)=Start!$B$12,MIN(H8:M8)&gt;=0,MAX(H8:M8)&lt;=Start!$B$11),SUM(H8:M8),""))</x:f>
      </x:c>
      <x:c r="O8" s="21"/>
      <x:c r="P8" s="21"/>
      <x:c r="Q8" s="21"/>
      <x:c r="R8" s="21"/>
      <x:c r="S8" s="21"/>
      <x:c r="T8" s="21"/>
      <x:c r="U8" s="26" t="str">
        <x:f>IF(A8="","",IF(AND(R8="LIVE",G8="Adjudicated",ISNUMBER(N8),B8&lt;&gt;"",C8&lt;&gt;"",D8&lt;&gt;"",E8&lt;&gt;"",F8&lt;&gt;"",O8&lt;&gt;"",P8&lt;&gt;"",Q8&lt;&gt;"",S8&lt;&gt;""),"ELIGIBLE","EXCLUDED"))</x:f>
      </x:c>
    </x:row>
    <x:row r="9" ht="32" customHeight="1">
      <x:c r="A9" s="21"/>
      <x:c r="B9" s="21"/>
      <x:c r="C9" s="21"/>
      <x:c r="D9" s="21"/>
      <x:c r="E9" s="21"/>
      <x:c r="F9" s="21"/>
      <x:c r="G9" s="21"/>
      <x:c r="H9" s="28"/>
      <x:c r="I9" s="28"/>
      <x:c r="J9" s="28"/>
      <x:c r="K9" s="28"/>
      <x:c r="L9" s="28"/>
      <x:c r="M9" s="28"/>
      <x:c r="N9" s="29" t="str">
        <x:f>IF(A9="","",IF(AND(COUNT(H9:M9)=Start!$B$12,MIN(H9:M9)&gt;=0,MAX(H9:M9)&lt;=Start!$B$11),SUM(H9:M9),""))</x:f>
      </x:c>
      <x:c r="O9" s="21"/>
      <x:c r="P9" s="21"/>
      <x:c r="Q9" s="21"/>
      <x:c r="R9" s="21"/>
      <x:c r="S9" s="21"/>
      <x:c r="T9" s="21"/>
      <x:c r="U9" s="26" t="str">
        <x:f>IF(A9="","",IF(AND(R9="LIVE",G9="Adjudicated",ISNUMBER(N9),B9&lt;&gt;"",C9&lt;&gt;"",D9&lt;&gt;"",E9&lt;&gt;"",F9&lt;&gt;"",O9&lt;&gt;"",P9&lt;&gt;"",Q9&lt;&gt;"",S9&lt;&gt;""),"ELIGIBLE","EXCLUDED"))</x:f>
      </x:c>
    </x:row>
    <x:row r="10" ht="32" customHeight="1">
      <x:c r="A10" s="21"/>
      <x:c r="B10" s="21"/>
      <x:c r="C10" s="21"/>
      <x:c r="D10" s="21"/>
      <x:c r="E10" s="21"/>
      <x:c r="F10" s="21"/>
      <x:c r="G10" s="21"/>
      <x:c r="H10" s="28"/>
      <x:c r="I10" s="28"/>
      <x:c r="J10" s="28"/>
      <x:c r="K10" s="28"/>
      <x:c r="L10" s="28"/>
      <x:c r="M10" s="28"/>
      <x:c r="N10" s="29" t="str">
        <x:f>IF(A10="","",IF(AND(COUNT(H10:M10)=Start!$B$12,MIN(H10:M10)&gt;=0,MAX(H10:M10)&lt;=Start!$B$11),SUM(H10:M10),""))</x:f>
      </x:c>
      <x:c r="O10" s="21"/>
      <x:c r="P10" s="21"/>
      <x:c r="Q10" s="21"/>
      <x:c r="R10" s="21"/>
      <x:c r="S10" s="21"/>
      <x:c r="T10" s="21"/>
      <x:c r="U10" s="26" t="str">
        <x:f>IF(A10="","",IF(AND(R10="LIVE",G10="Adjudicated",ISNUMBER(N10),B10&lt;&gt;"",C10&lt;&gt;"",D10&lt;&gt;"",E10&lt;&gt;"",F10&lt;&gt;"",O10&lt;&gt;"",P10&lt;&gt;"",Q10&lt;&gt;"",S10&lt;&gt;""),"ELIGIBLE","EXCLUDED"))</x:f>
      </x:c>
    </x:row>
    <x:row r="11" ht="32" customHeight="1">
      <x:c r="A11" s="21"/>
      <x:c r="B11" s="21"/>
      <x:c r="C11" s="21"/>
      <x:c r="D11" s="21"/>
      <x:c r="E11" s="21"/>
      <x:c r="F11" s="21"/>
      <x:c r="G11" s="21"/>
      <x:c r="H11" s="28"/>
      <x:c r="I11" s="28"/>
      <x:c r="J11" s="28"/>
      <x:c r="K11" s="28"/>
      <x:c r="L11" s="28"/>
      <x:c r="M11" s="28"/>
      <x:c r="N11" s="29" t="str">
        <x:f>IF(A11="","",IF(AND(COUNT(H11:M11)=Start!$B$12,MIN(H11:M11)&gt;=0,MAX(H11:M11)&lt;=Start!$B$11),SUM(H11:M11),""))</x:f>
      </x:c>
      <x:c r="O11" s="21"/>
      <x:c r="P11" s="21"/>
      <x:c r="Q11" s="21"/>
      <x:c r="R11" s="21"/>
      <x:c r="S11" s="21"/>
      <x:c r="T11" s="21"/>
      <x:c r="U11" s="26" t="str">
        <x:f>IF(A11="","",IF(AND(R11="LIVE",G11="Adjudicated",ISNUMBER(N11),B11&lt;&gt;"",C11&lt;&gt;"",D11&lt;&gt;"",E11&lt;&gt;"",F11&lt;&gt;"",O11&lt;&gt;"",P11&lt;&gt;"",Q11&lt;&gt;"",S11&lt;&gt;""),"ELIGIBLE","EXCLUDED"))</x:f>
      </x:c>
    </x:row>
    <x:row r="12" ht="32" customHeight="1">
      <x:c r="A12" s="21"/>
      <x:c r="B12" s="21"/>
      <x:c r="C12" s="21"/>
      <x:c r="D12" s="21"/>
      <x:c r="E12" s="21"/>
      <x:c r="F12" s="21"/>
      <x:c r="G12" s="21"/>
      <x:c r="H12" s="28"/>
      <x:c r="I12" s="28"/>
      <x:c r="J12" s="28"/>
      <x:c r="K12" s="28"/>
      <x:c r="L12" s="28"/>
      <x:c r="M12" s="28"/>
      <x:c r="N12" s="29" t="str">
        <x:f>IF(A12="","",IF(AND(COUNT(H12:M12)=Start!$B$12,MIN(H12:M12)&gt;=0,MAX(H12:M12)&lt;=Start!$B$11),SUM(H12:M12),""))</x:f>
      </x:c>
      <x:c r="O12" s="21"/>
      <x:c r="P12" s="21"/>
      <x:c r="Q12" s="21"/>
      <x:c r="R12" s="21"/>
      <x:c r="S12" s="21"/>
      <x:c r="T12" s="21"/>
      <x:c r="U12" s="26" t="str">
        <x:f>IF(A12="","",IF(AND(R12="LIVE",G12="Adjudicated",ISNUMBER(N12),B12&lt;&gt;"",C12&lt;&gt;"",D12&lt;&gt;"",E12&lt;&gt;"",F12&lt;&gt;"",O12&lt;&gt;"",P12&lt;&gt;"",Q12&lt;&gt;"",S12&lt;&gt;""),"ELIGIBLE","EXCLUDED"))</x:f>
      </x:c>
    </x:row>
    <x:row r="13" ht="32" customHeight="1">
      <x:c r="A13" s="21"/>
      <x:c r="B13" s="21"/>
      <x:c r="C13" s="21"/>
      <x:c r="D13" s="21"/>
      <x:c r="E13" s="21"/>
      <x:c r="F13" s="21"/>
      <x:c r="G13" s="21"/>
      <x:c r="H13" s="28"/>
      <x:c r="I13" s="28"/>
      <x:c r="J13" s="28"/>
      <x:c r="K13" s="28"/>
      <x:c r="L13" s="28"/>
      <x:c r="M13" s="28"/>
      <x:c r="N13" s="29" t="str">
        <x:f>IF(A13="","",IF(AND(COUNT(H13:M13)=Start!$B$12,MIN(H13:M13)&gt;=0,MAX(H13:M13)&lt;=Start!$B$11),SUM(H13:M13),""))</x:f>
      </x:c>
      <x:c r="O13" s="21"/>
      <x:c r="P13" s="21"/>
      <x:c r="Q13" s="21"/>
      <x:c r="R13" s="21"/>
      <x:c r="S13" s="21"/>
      <x:c r="T13" s="21"/>
      <x:c r="U13" s="26" t="str">
        <x:f>IF(A13="","",IF(AND(R13="LIVE",G13="Adjudicated",ISNUMBER(N13),B13&lt;&gt;"",C13&lt;&gt;"",D13&lt;&gt;"",E13&lt;&gt;"",F13&lt;&gt;"",O13&lt;&gt;"",P13&lt;&gt;"",Q13&lt;&gt;"",S13&lt;&gt;""),"ELIGIBLE","EXCLUDED"))</x:f>
      </x:c>
    </x:row>
    <x:row r="14" ht="32" customHeight="1">
      <x:c r="A14" s="21"/>
      <x:c r="B14" s="21"/>
      <x:c r="C14" s="21"/>
      <x:c r="D14" s="21"/>
      <x:c r="E14" s="21"/>
      <x:c r="F14" s="21"/>
      <x:c r="G14" s="21"/>
      <x:c r="H14" s="28"/>
      <x:c r="I14" s="28"/>
      <x:c r="J14" s="28"/>
      <x:c r="K14" s="28"/>
      <x:c r="L14" s="28"/>
      <x:c r="M14" s="28"/>
      <x:c r="N14" s="29" t="str">
        <x:f>IF(A14="","",IF(AND(COUNT(H14:M14)=Start!$B$12,MIN(H14:M14)&gt;=0,MAX(H14:M14)&lt;=Start!$B$11),SUM(H14:M14),""))</x:f>
      </x:c>
      <x:c r="O14" s="21"/>
      <x:c r="P14" s="21"/>
      <x:c r="Q14" s="21"/>
      <x:c r="R14" s="21"/>
      <x:c r="S14" s="21"/>
      <x:c r="T14" s="21"/>
      <x:c r="U14" s="26" t="str">
        <x:f>IF(A14="","",IF(AND(R14="LIVE",G14="Adjudicated",ISNUMBER(N14),B14&lt;&gt;"",C14&lt;&gt;"",D14&lt;&gt;"",E14&lt;&gt;"",F14&lt;&gt;"",O14&lt;&gt;"",P14&lt;&gt;"",Q14&lt;&gt;"",S14&lt;&gt;""),"ELIGIBLE","EXCLUDED"))</x:f>
      </x:c>
    </x:row>
    <x:row r="15" ht="32" customHeight="1">
      <x:c r="A15" s="21"/>
      <x:c r="B15" s="21"/>
      <x:c r="C15" s="21"/>
      <x:c r="D15" s="21"/>
      <x:c r="E15" s="21"/>
      <x:c r="F15" s="21"/>
      <x:c r="G15" s="21"/>
      <x:c r="H15" s="28"/>
      <x:c r="I15" s="28"/>
      <x:c r="J15" s="28"/>
      <x:c r="K15" s="28"/>
      <x:c r="L15" s="28"/>
      <x:c r="M15" s="28"/>
      <x:c r="N15" s="29" t="str">
        <x:f>IF(A15="","",IF(AND(COUNT(H15:M15)=Start!$B$12,MIN(H15:M15)&gt;=0,MAX(H15:M15)&lt;=Start!$B$11),SUM(H15:M15),""))</x:f>
      </x:c>
      <x:c r="O15" s="21"/>
      <x:c r="P15" s="21"/>
      <x:c r="Q15" s="21"/>
      <x:c r="R15" s="21"/>
      <x:c r="S15" s="21"/>
      <x:c r="T15" s="21"/>
      <x:c r="U15" s="26" t="str">
        <x:f>IF(A15="","",IF(AND(R15="LIVE",G15="Adjudicated",ISNUMBER(N15),B15&lt;&gt;"",C15&lt;&gt;"",D15&lt;&gt;"",E15&lt;&gt;"",F15&lt;&gt;"",O15&lt;&gt;"",P15&lt;&gt;"",Q15&lt;&gt;"",S15&lt;&gt;""),"ELIGIBLE","EXCLUDED"))</x:f>
      </x:c>
    </x:row>
    <x:row r="16" ht="32" customHeight="1">
      <x:c r="A16" s="21"/>
      <x:c r="B16" s="21"/>
      <x:c r="C16" s="21"/>
      <x:c r="D16" s="21"/>
      <x:c r="E16" s="21"/>
      <x:c r="F16" s="21"/>
      <x:c r="G16" s="21"/>
      <x:c r="H16" s="28"/>
      <x:c r="I16" s="28"/>
      <x:c r="J16" s="28"/>
      <x:c r="K16" s="28"/>
      <x:c r="L16" s="28"/>
      <x:c r="M16" s="28"/>
      <x:c r="N16" s="29" t="str">
        <x:f>IF(A16="","",IF(AND(COUNT(H16:M16)=Start!$B$12,MIN(H16:M16)&gt;=0,MAX(H16:M16)&lt;=Start!$B$11),SUM(H16:M16),""))</x:f>
      </x:c>
      <x:c r="O16" s="21"/>
      <x:c r="P16" s="21"/>
      <x:c r="Q16" s="21"/>
      <x:c r="R16" s="21"/>
      <x:c r="S16" s="21"/>
      <x:c r="T16" s="21"/>
      <x:c r="U16" s="26" t="str">
        <x:f>IF(A16="","",IF(AND(R16="LIVE",G16="Adjudicated",ISNUMBER(N16),B16&lt;&gt;"",C16&lt;&gt;"",D16&lt;&gt;"",E16&lt;&gt;"",F16&lt;&gt;"",O16&lt;&gt;"",P16&lt;&gt;"",Q16&lt;&gt;"",S16&lt;&gt;""),"ELIGIBLE","EXCLUDED"))</x:f>
      </x:c>
    </x:row>
    <x:row r="17" ht="32" customHeight="1">
      <x:c r="A17" s="21"/>
      <x:c r="B17" s="21"/>
      <x:c r="C17" s="21"/>
      <x:c r="D17" s="21"/>
      <x:c r="E17" s="21"/>
      <x:c r="F17" s="21"/>
      <x:c r="G17" s="21"/>
      <x:c r="H17" s="28"/>
      <x:c r="I17" s="28"/>
      <x:c r="J17" s="28"/>
      <x:c r="K17" s="28"/>
      <x:c r="L17" s="28"/>
      <x:c r="M17" s="28"/>
      <x:c r="N17" s="29" t="str">
        <x:f>IF(A17="","",IF(AND(COUNT(H17:M17)=Start!$B$12,MIN(H17:M17)&gt;=0,MAX(H17:M17)&lt;=Start!$B$11),SUM(H17:M17),""))</x:f>
      </x:c>
      <x:c r="O17" s="21"/>
      <x:c r="P17" s="21"/>
      <x:c r="Q17" s="21"/>
      <x:c r="R17" s="21"/>
      <x:c r="S17" s="21"/>
      <x:c r="T17" s="21"/>
      <x:c r="U17" s="26" t="str">
        <x:f>IF(A17="","",IF(AND(R17="LIVE",G17="Adjudicated",ISNUMBER(N17),B17&lt;&gt;"",C17&lt;&gt;"",D17&lt;&gt;"",E17&lt;&gt;"",F17&lt;&gt;"",O17&lt;&gt;"",P17&lt;&gt;"",Q17&lt;&gt;"",S17&lt;&gt;""),"ELIGIBLE","EXCLUDED"))</x:f>
      </x:c>
    </x:row>
    <x:row r="18" ht="32" customHeight="1">
      <x:c r="A18" s="21"/>
      <x:c r="B18" s="21"/>
      <x:c r="C18" s="21"/>
      <x:c r="D18" s="21"/>
      <x:c r="E18" s="21"/>
      <x:c r="F18" s="21"/>
      <x:c r="G18" s="21"/>
      <x:c r="H18" s="28"/>
      <x:c r="I18" s="28"/>
      <x:c r="J18" s="28"/>
      <x:c r="K18" s="28"/>
      <x:c r="L18" s="28"/>
      <x:c r="M18" s="28"/>
      <x:c r="N18" s="29" t="str">
        <x:f>IF(A18="","",IF(AND(COUNT(H18:M18)=Start!$B$12,MIN(H18:M18)&gt;=0,MAX(H18:M18)&lt;=Start!$B$11),SUM(H18:M18),""))</x:f>
      </x:c>
      <x:c r="O18" s="21"/>
      <x:c r="P18" s="21"/>
      <x:c r="Q18" s="21"/>
      <x:c r="R18" s="21"/>
      <x:c r="S18" s="21"/>
      <x:c r="T18" s="21"/>
      <x:c r="U18" s="26" t="str">
        <x:f>IF(A18="","",IF(AND(R18="LIVE",G18="Adjudicated",ISNUMBER(N18),B18&lt;&gt;"",C18&lt;&gt;"",D18&lt;&gt;"",E18&lt;&gt;"",F18&lt;&gt;"",O18&lt;&gt;"",P18&lt;&gt;"",Q18&lt;&gt;"",S18&lt;&gt;""),"ELIGIBLE","EXCLUDED"))</x:f>
      </x:c>
    </x:row>
    <x:row r="19" ht="32" customHeight="1">
      <x:c r="A19" s="21"/>
      <x:c r="B19" s="21"/>
      <x:c r="C19" s="21"/>
      <x:c r="D19" s="21"/>
      <x:c r="E19" s="21"/>
      <x:c r="F19" s="21"/>
      <x:c r="G19" s="21"/>
      <x:c r="H19" s="28"/>
      <x:c r="I19" s="28"/>
      <x:c r="J19" s="28"/>
      <x:c r="K19" s="28"/>
      <x:c r="L19" s="28"/>
      <x:c r="M19" s="28"/>
      <x:c r="N19" s="29" t="str">
        <x:f>IF(A19="","",IF(AND(COUNT(H19:M19)=Start!$B$12,MIN(H19:M19)&gt;=0,MAX(H19:M19)&lt;=Start!$B$11),SUM(H19:M19),""))</x:f>
      </x:c>
      <x:c r="O19" s="21"/>
      <x:c r="P19" s="21"/>
      <x:c r="Q19" s="21"/>
      <x:c r="R19" s="21"/>
      <x:c r="S19" s="21"/>
      <x:c r="T19" s="21"/>
      <x:c r="U19" s="26" t="str">
        <x:f>IF(A19="","",IF(AND(R19="LIVE",G19="Adjudicated",ISNUMBER(N19),B19&lt;&gt;"",C19&lt;&gt;"",D19&lt;&gt;"",E19&lt;&gt;"",F19&lt;&gt;"",O19&lt;&gt;"",P19&lt;&gt;"",Q19&lt;&gt;"",S19&lt;&gt;""),"ELIGIBLE","EXCLUDED"))</x:f>
      </x:c>
    </x:row>
    <x:row r="20" ht="32" customHeight="1">
      <x:c r="A20" s="21"/>
      <x:c r="B20" s="21"/>
      <x:c r="C20" s="21"/>
      <x:c r="D20" s="21"/>
      <x:c r="E20" s="21"/>
      <x:c r="F20" s="21"/>
      <x:c r="G20" s="21"/>
      <x:c r="H20" s="28"/>
      <x:c r="I20" s="28"/>
      <x:c r="J20" s="28"/>
      <x:c r="K20" s="28"/>
      <x:c r="L20" s="28"/>
      <x:c r="M20" s="28"/>
      <x:c r="N20" s="29" t="str">
        <x:f>IF(A20="","",IF(AND(COUNT(H20:M20)=Start!$B$12,MIN(H20:M20)&gt;=0,MAX(H20:M20)&lt;=Start!$B$11),SUM(H20:M20),""))</x:f>
      </x:c>
      <x:c r="O20" s="21"/>
      <x:c r="P20" s="21"/>
      <x:c r="Q20" s="21"/>
      <x:c r="R20" s="21"/>
      <x:c r="S20" s="21"/>
      <x:c r="T20" s="21"/>
      <x:c r="U20" s="26" t="str">
        <x:f>IF(A20="","",IF(AND(R20="LIVE",G20="Adjudicated",ISNUMBER(N20),B20&lt;&gt;"",C20&lt;&gt;"",D20&lt;&gt;"",E20&lt;&gt;"",F20&lt;&gt;"",O20&lt;&gt;"",P20&lt;&gt;"",Q20&lt;&gt;"",S20&lt;&gt;""),"ELIGIBLE","EXCLUDED"))</x:f>
      </x:c>
    </x:row>
    <x:row r="21" ht="32" customHeight="1">
      <x:c r="A21" s="21"/>
      <x:c r="B21" s="21"/>
      <x:c r="C21" s="21"/>
      <x:c r="D21" s="21"/>
      <x:c r="E21" s="21"/>
      <x:c r="F21" s="21"/>
      <x:c r="G21" s="21"/>
      <x:c r="H21" s="28"/>
      <x:c r="I21" s="28"/>
      <x:c r="J21" s="28"/>
      <x:c r="K21" s="28"/>
      <x:c r="L21" s="28"/>
      <x:c r="M21" s="28"/>
      <x:c r="N21" s="29" t="str">
        <x:f>IF(A21="","",IF(AND(COUNT(H21:M21)=Start!$B$12,MIN(H21:M21)&gt;=0,MAX(H21:M21)&lt;=Start!$B$11),SUM(H21:M21),""))</x:f>
      </x:c>
      <x:c r="O21" s="21"/>
      <x:c r="P21" s="21"/>
      <x:c r="Q21" s="21"/>
      <x:c r="R21" s="21"/>
      <x:c r="S21" s="21"/>
      <x:c r="T21" s="21"/>
      <x:c r="U21" s="26" t="str">
        <x:f>IF(A21="","",IF(AND(R21="LIVE",G21="Adjudicated",ISNUMBER(N21),B21&lt;&gt;"",C21&lt;&gt;"",D21&lt;&gt;"",E21&lt;&gt;"",F21&lt;&gt;"",O21&lt;&gt;"",P21&lt;&gt;"",Q21&lt;&gt;"",S21&lt;&gt;""),"ELIGIBLE","EXCLUDED"))</x:f>
      </x:c>
    </x:row>
    <x:row r="22" ht="32" customHeight="1">
      <x:c r="A22" s="21"/>
      <x:c r="B22" s="21"/>
      <x:c r="C22" s="21"/>
      <x:c r="D22" s="21"/>
      <x:c r="E22" s="21"/>
      <x:c r="F22" s="21"/>
      <x:c r="G22" s="21"/>
      <x:c r="H22" s="28"/>
      <x:c r="I22" s="28"/>
      <x:c r="J22" s="28"/>
      <x:c r="K22" s="28"/>
      <x:c r="L22" s="28"/>
      <x:c r="M22" s="28"/>
      <x:c r="N22" s="29" t="str">
        <x:f>IF(A22="","",IF(AND(COUNT(H22:M22)=Start!$B$12,MIN(H22:M22)&gt;=0,MAX(H22:M22)&lt;=Start!$B$11),SUM(H22:M22),""))</x:f>
      </x:c>
      <x:c r="O22" s="21"/>
      <x:c r="P22" s="21"/>
      <x:c r="Q22" s="21"/>
      <x:c r="R22" s="21"/>
      <x:c r="S22" s="21"/>
      <x:c r="T22" s="21"/>
      <x:c r="U22" s="26" t="str">
        <x:f>IF(A22="","",IF(AND(R22="LIVE",G22="Adjudicated",ISNUMBER(N22),B22&lt;&gt;"",C22&lt;&gt;"",D22&lt;&gt;"",E22&lt;&gt;"",F22&lt;&gt;"",O22&lt;&gt;"",P22&lt;&gt;"",Q22&lt;&gt;"",S22&lt;&gt;""),"ELIGIBLE","EXCLUDED"))</x:f>
      </x:c>
    </x:row>
    <x:row r="23" ht="32" customHeight="1">
      <x:c r="A23" s="21"/>
      <x:c r="B23" s="21"/>
      <x:c r="C23" s="21"/>
      <x:c r="D23" s="21"/>
      <x:c r="E23" s="21"/>
      <x:c r="F23" s="21"/>
      <x:c r="G23" s="21"/>
      <x:c r="H23" s="28"/>
      <x:c r="I23" s="28"/>
      <x:c r="J23" s="28"/>
      <x:c r="K23" s="28"/>
      <x:c r="L23" s="28"/>
      <x:c r="M23" s="28"/>
      <x:c r="N23" s="29" t="str">
        <x:f>IF(A23="","",IF(AND(COUNT(H23:M23)=Start!$B$12,MIN(H23:M23)&gt;=0,MAX(H23:M23)&lt;=Start!$B$11),SUM(H23:M23),""))</x:f>
      </x:c>
      <x:c r="O23" s="21"/>
      <x:c r="P23" s="21"/>
      <x:c r="Q23" s="21"/>
      <x:c r="R23" s="21"/>
      <x:c r="S23" s="21"/>
      <x:c r="T23" s="21"/>
      <x:c r="U23" s="26" t="str">
        <x:f>IF(A23="","",IF(AND(R23="LIVE",G23="Adjudicated",ISNUMBER(N23),B23&lt;&gt;"",C23&lt;&gt;"",D23&lt;&gt;"",E23&lt;&gt;"",F23&lt;&gt;"",O23&lt;&gt;"",P23&lt;&gt;"",Q23&lt;&gt;"",S23&lt;&gt;""),"ELIGIBLE","EXCLUDED"))</x:f>
      </x:c>
    </x:row>
    <x:row r="24" ht="32" customHeight="1">
      <x:c r="A24" s="21"/>
      <x:c r="B24" s="21"/>
      <x:c r="C24" s="21"/>
      <x:c r="D24" s="21"/>
      <x:c r="E24" s="21"/>
      <x:c r="F24" s="21"/>
      <x:c r="G24" s="21"/>
      <x:c r="H24" s="28"/>
      <x:c r="I24" s="28"/>
      <x:c r="J24" s="28"/>
      <x:c r="K24" s="28"/>
      <x:c r="L24" s="28"/>
      <x:c r="M24" s="28"/>
      <x:c r="N24" s="29" t="str">
        <x:f>IF(A24="","",IF(AND(COUNT(H24:M24)=Start!$B$12,MIN(H24:M24)&gt;=0,MAX(H24:M24)&lt;=Start!$B$11),SUM(H24:M24),""))</x:f>
      </x:c>
      <x:c r="O24" s="21"/>
      <x:c r="P24" s="21"/>
      <x:c r="Q24" s="21"/>
      <x:c r="R24" s="21"/>
      <x:c r="S24" s="21"/>
      <x:c r="T24" s="21"/>
      <x:c r="U24" s="26" t="str">
        <x:f>IF(A24="","",IF(AND(R24="LIVE",G24="Adjudicated",ISNUMBER(N24),B24&lt;&gt;"",C24&lt;&gt;"",D24&lt;&gt;"",E24&lt;&gt;"",F24&lt;&gt;"",O24&lt;&gt;"",P24&lt;&gt;"",Q24&lt;&gt;"",S24&lt;&gt;""),"ELIGIBLE","EXCLUDED"))</x:f>
      </x:c>
    </x:row>
    <x:row r="25" ht="32" customHeight="1">
      <x:c r="A25" s="21"/>
      <x:c r="B25" s="21"/>
      <x:c r="C25" s="21"/>
      <x:c r="D25" s="21"/>
      <x:c r="E25" s="21"/>
      <x:c r="F25" s="21"/>
      <x:c r="G25" s="21"/>
      <x:c r="H25" s="28"/>
      <x:c r="I25" s="28"/>
      <x:c r="J25" s="28"/>
      <x:c r="K25" s="28"/>
      <x:c r="L25" s="28"/>
      <x:c r="M25" s="28"/>
      <x:c r="N25" s="29" t="str">
        <x:f>IF(A25="","",IF(AND(COUNT(H25:M25)=Start!$B$12,MIN(H25:M25)&gt;=0,MAX(H25:M25)&lt;=Start!$B$11),SUM(H25:M25),""))</x:f>
      </x:c>
      <x:c r="O25" s="21"/>
      <x:c r="P25" s="21"/>
      <x:c r="Q25" s="21"/>
      <x:c r="R25" s="21"/>
      <x:c r="S25" s="21"/>
      <x:c r="T25" s="21"/>
      <x:c r="U25" s="26" t="str">
        <x:f>IF(A25="","",IF(AND(R25="LIVE",G25="Adjudicated",ISNUMBER(N25),B25&lt;&gt;"",C25&lt;&gt;"",D25&lt;&gt;"",E25&lt;&gt;"",F25&lt;&gt;"",O25&lt;&gt;"",P25&lt;&gt;"",Q25&lt;&gt;"",S25&lt;&gt;""),"ELIGIBLE","EXCLUDED"))</x:f>
      </x:c>
    </x:row>
    <x:row r="26" ht="32" customHeight="1">
      <x:c r="A26" s="21"/>
      <x:c r="B26" s="21"/>
      <x:c r="C26" s="21"/>
      <x:c r="D26" s="21"/>
      <x:c r="E26" s="21"/>
      <x:c r="F26" s="21"/>
      <x:c r="G26" s="21"/>
      <x:c r="H26" s="28"/>
      <x:c r="I26" s="28"/>
      <x:c r="J26" s="28"/>
      <x:c r="K26" s="28"/>
      <x:c r="L26" s="28"/>
      <x:c r="M26" s="28"/>
      <x:c r="N26" s="29" t="str">
        <x:f>IF(A26="","",IF(AND(COUNT(H26:M26)=Start!$B$12,MIN(H26:M26)&gt;=0,MAX(H26:M26)&lt;=Start!$B$11),SUM(H26:M26),""))</x:f>
      </x:c>
      <x:c r="O26" s="21"/>
      <x:c r="P26" s="21"/>
      <x:c r="Q26" s="21"/>
      <x:c r="R26" s="21"/>
      <x:c r="S26" s="21"/>
      <x:c r="T26" s="21"/>
      <x:c r="U26" s="26" t="str">
        <x:f>IF(A26="","",IF(AND(R26="LIVE",G26="Adjudicated",ISNUMBER(N26),B26&lt;&gt;"",C26&lt;&gt;"",D26&lt;&gt;"",E26&lt;&gt;"",F26&lt;&gt;"",O26&lt;&gt;"",P26&lt;&gt;"",Q26&lt;&gt;"",S26&lt;&gt;""),"ELIGIBLE","EXCLUDED"))</x:f>
      </x:c>
    </x:row>
    <x:row r="27" ht="32" customHeight="1">
      <x:c r="A27" s="21"/>
      <x:c r="B27" s="21"/>
      <x:c r="C27" s="21"/>
      <x:c r="D27" s="21"/>
      <x:c r="E27" s="21"/>
      <x:c r="F27" s="21"/>
      <x:c r="G27" s="21"/>
      <x:c r="H27" s="28"/>
      <x:c r="I27" s="28"/>
      <x:c r="J27" s="28"/>
      <x:c r="K27" s="28"/>
      <x:c r="L27" s="28"/>
      <x:c r="M27" s="28"/>
      <x:c r="N27" s="29" t="str">
        <x:f>IF(A27="","",IF(AND(COUNT(H27:M27)=Start!$B$12,MIN(H27:M27)&gt;=0,MAX(H27:M27)&lt;=Start!$B$11),SUM(H27:M27),""))</x:f>
      </x:c>
      <x:c r="O27" s="21"/>
      <x:c r="P27" s="21"/>
      <x:c r="Q27" s="21"/>
      <x:c r="R27" s="21"/>
      <x:c r="S27" s="21"/>
      <x:c r="T27" s="21"/>
      <x:c r="U27" s="26" t="str">
        <x:f>IF(A27="","",IF(AND(R27="LIVE",G27="Adjudicated",ISNUMBER(N27),B27&lt;&gt;"",C27&lt;&gt;"",D27&lt;&gt;"",E27&lt;&gt;"",F27&lt;&gt;"",O27&lt;&gt;"",P27&lt;&gt;"",Q27&lt;&gt;"",S27&lt;&gt;""),"ELIGIBLE","EXCLUDED"))</x:f>
      </x:c>
    </x:row>
    <x:row r="28" ht="32" customHeight="1">
      <x:c r="A28" s="21"/>
      <x:c r="B28" s="21"/>
      <x:c r="C28" s="21"/>
      <x:c r="D28" s="21"/>
      <x:c r="E28" s="21"/>
      <x:c r="F28" s="21"/>
      <x:c r="G28" s="21"/>
      <x:c r="H28" s="28"/>
      <x:c r="I28" s="28"/>
      <x:c r="J28" s="28"/>
      <x:c r="K28" s="28"/>
      <x:c r="L28" s="28"/>
      <x:c r="M28" s="28"/>
      <x:c r="N28" s="29" t="str">
        <x:f>IF(A28="","",IF(AND(COUNT(H28:M28)=Start!$B$12,MIN(H28:M28)&gt;=0,MAX(H28:M28)&lt;=Start!$B$11),SUM(H28:M28),""))</x:f>
      </x:c>
      <x:c r="O28" s="21"/>
      <x:c r="P28" s="21"/>
      <x:c r="Q28" s="21"/>
      <x:c r="R28" s="21"/>
      <x:c r="S28" s="21"/>
      <x:c r="T28" s="21"/>
      <x:c r="U28" s="26" t="str">
        <x:f>IF(A28="","",IF(AND(R28="LIVE",G28="Adjudicated",ISNUMBER(N28),B28&lt;&gt;"",C28&lt;&gt;"",D28&lt;&gt;"",E28&lt;&gt;"",F28&lt;&gt;"",O28&lt;&gt;"",P28&lt;&gt;"",Q28&lt;&gt;"",S28&lt;&gt;""),"ELIGIBLE","EXCLUDED"))</x:f>
      </x:c>
    </x:row>
    <x:row r="29" ht="32" customHeight="1">
      <x:c r="A29" s="21"/>
      <x:c r="B29" s="21"/>
      <x:c r="C29" s="21"/>
      <x:c r="D29" s="21"/>
      <x:c r="E29" s="21"/>
      <x:c r="F29" s="21"/>
      <x:c r="G29" s="21"/>
      <x:c r="H29" s="28"/>
      <x:c r="I29" s="28"/>
      <x:c r="J29" s="28"/>
      <x:c r="K29" s="28"/>
      <x:c r="L29" s="28"/>
      <x:c r="M29" s="28"/>
      <x:c r="N29" s="29" t="str">
        <x:f>IF(A29="","",IF(AND(COUNT(H29:M29)=Start!$B$12,MIN(H29:M29)&gt;=0,MAX(H29:M29)&lt;=Start!$B$11),SUM(H29:M29),""))</x:f>
      </x:c>
      <x:c r="O29" s="21"/>
      <x:c r="P29" s="21"/>
      <x:c r="Q29" s="21"/>
      <x:c r="R29" s="21"/>
      <x:c r="S29" s="21"/>
      <x:c r="T29" s="21"/>
      <x:c r="U29" s="26" t="str">
        <x:f>IF(A29="","",IF(AND(R29="LIVE",G29="Adjudicated",ISNUMBER(N29),B29&lt;&gt;"",C29&lt;&gt;"",D29&lt;&gt;"",E29&lt;&gt;"",F29&lt;&gt;"",O29&lt;&gt;"",P29&lt;&gt;"",Q29&lt;&gt;"",S29&lt;&gt;""),"ELIGIBLE","EXCLUDED"))</x:f>
      </x:c>
    </x:row>
    <x:row r="30" ht="32" customHeight="1">
      <x:c r="A30" s="21"/>
      <x:c r="B30" s="21"/>
      <x:c r="C30" s="21"/>
      <x:c r="D30" s="21"/>
      <x:c r="E30" s="21"/>
      <x:c r="F30" s="21"/>
      <x:c r="G30" s="21"/>
      <x:c r="H30" s="28"/>
      <x:c r="I30" s="28"/>
      <x:c r="J30" s="28"/>
      <x:c r="K30" s="28"/>
      <x:c r="L30" s="28"/>
      <x:c r="M30" s="28"/>
      <x:c r="N30" s="29" t="str">
        <x:f>IF(A30="","",IF(AND(COUNT(H30:M30)=Start!$B$12,MIN(H30:M30)&gt;=0,MAX(H30:M30)&lt;=Start!$B$11),SUM(H30:M30),""))</x:f>
      </x:c>
      <x:c r="O30" s="21"/>
      <x:c r="P30" s="21"/>
      <x:c r="Q30" s="21"/>
      <x:c r="R30" s="21"/>
      <x:c r="S30" s="21"/>
      <x:c r="T30" s="21"/>
      <x:c r="U30" s="26" t="str">
        <x:f>IF(A30="","",IF(AND(R30="LIVE",G30="Adjudicated",ISNUMBER(N30),B30&lt;&gt;"",C30&lt;&gt;"",D30&lt;&gt;"",E30&lt;&gt;"",F30&lt;&gt;"",O30&lt;&gt;"",P30&lt;&gt;"",Q30&lt;&gt;"",S30&lt;&gt;""),"ELIGIBLE","EXCLUDED"))</x:f>
      </x:c>
    </x:row>
    <x:row r="31" ht="32" customHeight="1">
      <x:c r="A31" s="21"/>
      <x:c r="B31" s="21"/>
      <x:c r="C31" s="21"/>
      <x:c r="D31" s="21"/>
      <x:c r="E31" s="21"/>
      <x:c r="F31" s="21"/>
      <x:c r="G31" s="21"/>
      <x:c r="H31" s="28"/>
      <x:c r="I31" s="28"/>
      <x:c r="J31" s="28"/>
      <x:c r="K31" s="28"/>
      <x:c r="L31" s="28"/>
      <x:c r="M31" s="28"/>
      <x:c r="N31" s="29" t="str">
        <x:f>IF(A31="","",IF(AND(COUNT(H31:M31)=Start!$B$12,MIN(H31:M31)&gt;=0,MAX(H31:M31)&lt;=Start!$B$11),SUM(H31:M31),""))</x:f>
      </x:c>
      <x:c r="O31" s="21"/>
      <x:c r="P31" s="21"/>
      <x:c r="Q31" s="21"/>
      <x:c r="R31" s="21"/>
      <x:c r="S31" s="21"/>
      <x:c r="T31" s="21"/>
      <x:c r="U31" s="26" t="str">
        <x:f>IF(A31="","",IF(AND(R31="LIVE",G31="Adjudicated",ISNUMBER(N31),B31&lt;&gt;"",C31&lt;&gt;"",D31&lt;&gt;"",E31&lt;&gt;"",F31&lt;&gt;"",O31&lt;&gt;"",P31&lt;&gt;"",Q31&lt;&gt;"",S31&lt;&gt;""),"ELIGIBLE","EXCLUDED"))</x:f>
      </x:c>
    </x:row>
    <x:row r="32" ht="32" customHeight="1">
      <x:c r="A32" s="21"/>
      <x:c r="B32" s="21"/>
      <x:c r="C32" s="21"/>
      <x:c r="D32" s="21"/>
      <x:c r="E32" s="21"/>
      <x:c r="F32" s="21"/>
      <x:c r="G32" s="21"/>
      <x:c r="H32" s="28"/>
      <x:c r="I32" s="28"/>
      <x:c r="J32" s="28"/>
      <x:c r="K32" s="28"/>
      <x:c r="L32" s="28"/>
      <x:c r="M32" s="28"/>
      <x:c r="N32" s="29" t="str">
        <x:f>IF(A32="","",IF(AND(COUNT(H32:M32)=Start!$B$12,MIN(H32:M32)&gt;=0,MAX(H32:M32)&lt;=Start!$B$11),SUM(H32:M32),""))</x:f>
      </x:c>
      <x:c r="O32" s="21"/>
      <x:c r="P32" s="21"/>
      <x:c r="Q32" s="21"/>
      <x:c r="R32" s="21"/>
      <x:c r="S32" s="21"/>
      <x:c r="T32" s="21"/>
      <x:c r="U32" s="26" t="str">
        <x:f>IF(A32="","",IF(AND(R32="LIVE",G32="Adjudicated",ISNUMBER(N32),B32&lt;&gt;"",C32&lt;&gt;"",D32&lt;&gt;"",E32&lt;&gt;"",F32&lt;&gt;"",O32&lt;&gt;"",P32&lt;&gt;"",Q32&lt;&gt;"",S32&lt;&gt;""),"ELIGIBLE","EXCLUDED"))</x:f>
      </x:c>
    </x:row>
    <x:row r="33" ht="32" customHeight="1">
      <x:c r="A33" s="21"/>
      <x:c r="B33" s="21"/>
      <x:c r="C33" s="21"/>
      <x:c r="D33" s="21"/>
      <x:c r="E33" s="21"/>
      <x:c r="F33" s="21"/>
      <x:c r="G33" s="21"/>
      <x:c r="H33" s="28"/>
      <x:c r="I33" s="28"/>
      <x:c r="J33" s="28"/>
      <x:c r="K33" s="28"/>
      <x:c r="L33" s="28"/>
      <x:c r="M33" s="28"/>
      <x:c r="N33" s="29" t="str">
        <x:f>IF(A33="","",IF(AND(COUNT(H33:M33)=Start!$B$12,MIN(H33:M33)&gt;=0,MAX(H33:M33)&lt;=Start!$B$11),SUM(H33:M33),""))</x:f>
      </x:c>
      <x:c r="O33" s="21"/>
      <x:c r="P33" s="21"/>
      <x:c r="Q33" s="21"/>
      <x:c r="R33" s="21"/>
      <x:c r="S33" s="21"/>
      <x:c r="T33" s="21"/>
      <x:c r="U33" s="26" t="str">
        <x:f>IF(A33="","",IF(AND(R33="LIVE",G33="Adjudicated",ISNUMBER(N33),B33&lt;&gt;"",C33&lt;&gt;"",D33&lt;&gt;"",E33&lt;&gt;"",F33&lt;&gt;"",O33&lt;&gt;"",P33&lt;&gt;"",Q33&lt;&gt;"",S33&lt;&gt;""),"ELIGIBLE","EXCLUDED"))</x:f>
      </x:c>
    </x:row>
    <x:row r="34" ht="32" customHeight="1">
      <x:c r="A34" s="21"/>
      <x:c r="B34" s="21"/>
      <x:c r="C34" s="21"/>
      <x:c r="D34" s="21"/>
      <x:c r="E34" s="21"/>
      <x:c r="F34" s="21"/>
      <x:c r="G34" s="21"/>
      <x:c r="H34" s="28"/>
      <x:c r="I34" s="28"/>
      <x:c r="J34" s="28"/>
      <x:c r="K34" s="28"/>
      <x:c r="L34" s="28"/>
      <x:c r="M34" s="28"/>
      <x:c r="N34" s="29" t="str">
        <x:f>IF(A34="","",IF(AND(COUNT(H34:M34)=Start!$B$12,MIN(H34:M34)&gt;=0,MAX(H34:M34)&lt;=Start!$B$11),SUM(H34:M34),""))</x:f>
      </x:c>
      <x:c r="O34" s="21"/>
      <x:c r="P34" s="21"/>
      <x:c r="Q34" s="21"/>
      <x:c r="R34" s="21"/>
      <x:c r="S34" s="21"/>
      <x:c r="T34" s="21"/>
      <x:c r="U34" s="26" t="str">
        <x:f>IF(A34="","",IF(AND(R34="LIVE",G34="Adjudicated",ISNUMBER(N34),B34&lt;&gt;"",C34&lt;&gt;"",D34&lt;&gt;"",E34&lt;&gt;"",F34&lt;&gt;"",O34&lt;&gt;"",P34&lt;&gt;"",Q34&lt;&gt;"",S34&lt;&gt;""),"ELIGIBLE","EXCLUDED"))</x:f>
      </x:c>
    </x:row>
    <x:row r="35" ht="32" customHeight="1">
      <x:c r="A35" s="21"/>
      <x:c r="B35" s="21"/>
      <x:c r="C35" s="21"/>
      <x:c r="D35" s="21"/>
      <x:c r="E35" s="21"/>
      <x:c r="F35" s="21"/>
      <x:c r="G35" s="21"/>
      <x:c r="H35" s="28"/>
      <x:c r="I35" s="28"/>
      <x:c r="J35" s="28"/>
      <x:c r="K35" s="28"/>
      <x:c r="L35" s="28"/>
      <x:c r="M35" s="28"/>
      <x:c r="N35" s="29" t="str">
        <x:f>IF(A35="","",IF(AND(COUNT(H35:M35)=Start!$B$12,MIN(H35:M35)&gt;=0,MAX(H35:M35)&lt;=Start!$B$11),SUM(H35:M35),""))</x:f>
      </x:c>
      <x:c r="O35" s="21"/>
      <x:c r="P35" s="21"/>
      <x:c r="Q35" s="21"/>
      <x:c r="R35" s="21"/>
      <x:c r="S35" s="21"/>
      <x:c r="T35" s="21"/>
      <x:c r="U35" s="26" t="str">
        <x:f>IF(A35="","",IF(AND(R35="LIVE",G35="Adjudicated",ISNUMBER(N35),B35&lt;&gt;"",C35&lt;&gt;"",D35&lt;&gt;"",E35&lt;&gt;"",F35&lt;&gt;"",O35&lt;&gt;"",P35&lt;&gt;"",Q35&lt;&gt;"",S35&lt;&gt;""),"ELIGIBLE","EXCLUDED"))</x:f>
      </x:c>
    </x:row>
    <x:row r="36" ht="32" customHeight="1">
      <x:c r="A36" s="21"/>
      <x:c r="B36" s="21"/>
      <x:c r="C36" s="21"/>
      <x:c r="D36" s="21"/>
      <x:c r="E36" s="21"/>
      <x:c r="F36" s="21"/>
      <x:c r="G36" s="21"/>
      <x:c r="H36" s="28"/>
      <x:c r="I36" s="28"/>
      <x:c r="J36" s="28"/>
      <x:c r="K36" s="28"/>
      <x:c r="L36" s="28"/>
      <x:c r="M36" s="28"/>
      <x:c r="N36" s="29" t="str">
        <x:f>IF(A36="","",IF(AND(COUNT(H36:M36)=Start!$B$12,MIN(H36:M36)&gt;=0,MAX(H36:M36)&lt;=Start!$B$11),SUM(H36:M36),""))</x:f>
      </x:c>
      <x:c r="O36" s="21"/>
      <x:c r="P36" s="21"/>
      <x:c r="Q36" s="21"/>
      <x:c r="R36" s="21"/>
      <x:c r="S36" s="21"/>
      <x:c r="T36" s="21"/>
      <x:c r="U36" s="26" t="str">
        <x:f>IF(A36="","",IF(AND(R36="LIVE",G36="Adjudicated",ISNUMBER(N36),B36&lt;&gt;"",C36&lt;&gt;"",D36&lt;&gt;"",E36&lt;&gt;"",F36&lt;&gt;"",O36&lt;&gt;"",P36&lt;&gt;"",Q36&lt;&gt;"",S36&lt;&gt;""),"ELIGIBLE","EXCLUDED"))</x:f>
      </x:c>
    </x:row>
    <x:row r="37" ht="32" customHeight="1">
      <x:c r="A37" s="21"/>
      <x:c r="B37" s="21"/>
      <x:c r="C37" s="21"/>
      <x:c r="D37" s="21"/>
      <x:c r="E37" s="21"/>
      <x:c r="F37" s="21"/>
      <x:c r="G37" s="21"/>
      <x:c r="H37" s="28"/>
      <x:c r="I37" s="28"/>
      <x:c r="J37" s="28"/>
      <x:c r="K37" s="28"/>
      <x:c r="L37" s="28"/>
      <x:c r="M37" s="28"/>
      <x:c r="N37" s="29" t="str">
        <x:f>IF(A37="","",IF(AND(COUNT(H37:M37)=Start!$B$12,MIN(H37:M37)&gt;=0,MAX(H37:M37)&lt;=Start!$B$11),SUM(H37:M37),""))</x:f>
      </x:c>
      <x:c r="O37" s="21"/>
      <x:c r="P37" s="21"/>
      <x:c r="Q37" s="21"/>
      <x:c r="R37" s="21"/>
      <x:c r="S37" s="21"/>
      <x:c r="T37" s="21"/>
      <x:c r="U37" s="26" t="str">
        <x:f>IF(A37="","",IF(AND(R37="LIVE",G37="Adjudicated",ISNUMBER(N37),B37&lt;&gt;"",C37&lt;&gt;"",D37&lt;&gt;"",E37&lt;&gt;"",F37&lt;&gt;"",O37&lt;&gt;"",P37&lt;&gt;"",Q37&lt;&gt;"",S37&lt;&gt;""),"ELIGIBLE","EXCLUDED"))</x:f>
      </x:c>
    </x:row>
    <x:row r="38" ht="32" customHeight="1">
      <x:c r="A38" s="21"/>
      <x:c r="B38" s="21"/>
      <x:c r="C38" s="21"/>
      <x:c r="D38" s="21"/>
      <x:c r="E38" s="21"/>
      <x:c r="F38" s="21"/>
      <x:c r="G38" s="21"/>
      <x:c r="H38" s="28"/>
      <x:c r="I38" s="28"/>
      <x:c r="J38" s="28"/>
      <x:c r="K38" s="28"/>
      <x:c r="L38" s="28"/>
      <x:c r="M38" s="28"/>
      <x:c r="N38" s="29" t="str">
        <x:f>IF(A38="","",IF(AND(COUNT(H38:M38)=Start!$B$12,MIN(H38:M38)&gt;=0,MAX(H38:M38)&lt;=Start!$B$11),SUM(H38:M38),""))</x:f>
      </x:c>
      <x:c r="O38" s="21"/>
      <x:c r="P38" s="21"/>
      <x:c r="Q38" s="21"/>
      <x:c r="R38" s="21"/>
      <x:c r="S38" s="21"/>
      <x:c r="T38" s="21"/>
      <x:c r="U38" s="26" t="str">
        <x:f>IF(A38="","",IF(AND(R38="LIVE",G38="Adjudicated",ISNUMBER(N38),B38&lt;&gt;"",C38&lt;&gt;"",D38&lt;&gt;"",E38&lt;&gt;"",F38&lt;&gt;"",O38&lt;&gt;"",P38&lt;&gt;"",Q38&lt;&gt;"",S38&lt;&gt;""),"ELIGIBLE","EXCLUDED"))</x:f>
      </x:c>
    </x:row>
    <x:row r="39" ht="32" customHeight="1">
      <x:c r="A39" s="21"/>
      <x:c r="B39" s="21"/>
      <x:c r="C39" s="21"/>
      <x:c r="D39" s="21"/>
      <x:c r="E39" s="21"/>
      <x:c r="F39" s="21"/>
      <x:c r="G39" s="21"/>
      <x:c r="H39" s="28"/>
      <x:c r="I39" s="28"/>
      <x:c r="J39" s="28"/>
      <x:c r="K39" s="28"/>
      <x:c r="L39" s="28"/>
      <x:c r="M39" s="28"/>
      <x:c r="N39" s="29" t="str">
        <x:f>IF(A39="","",IF(AND(COUNT(H39:M39)=Start!$B$12,MIN(H39:M39)&gt;=0,MAX(H39:M39)&lt;=Start!$B$11),SUM(H39:M39),""))</x:f>
      </x:c>
      <x:c r="O39" s="21"/>
      <x:c r="P39" s="21"/>
      <x:c r="Q39" s="21"/>
      <x:c r="R39" s="21"/>
      <x:c r="S39" s="21"/>
      <x:c r="T39" s="21"/>
      <x:c r="U39" s="26" t="str">
        <x:f>IF(A39="","",IF(AND(R39="LIVE",G39="Adjudicated",ISNUMBER(N39),B39&lt;&gt;"",C39&lt;&gt;"",D39&lt;&gt;"",E39&lt;&gt;"",F39&lt;&gt;"",O39&lt;&gt;"",P39&lt;&gt;"",Q39&lt;&gt;"",S39&lt;&gt;""),"ELIGIBLE","EXCLUDED"))</x:f>
      </x:c>
    </x:row>
    <x:row r="40" ht="32" customHeight="1">
      <x:c r="A40" s="21"/>
      <x:c r="B40" s="21"/>
      <x:c r="C40" s="21"/>
      <x:c r="D40" s="21"/>
      <x:c r="E40" s="21"/>
      <x:c r="F40" s="21"/>
      <x:c r="G40" s="21"/>
      <x:c r="H40" s="28"/>
      <x:c r="I40" s="28"/>
      <x:c r="J40" s="28"/>
      <x:c r="K40" s="28"/>
      <x:c r="L40" s="28"/>
      <x:c r="M40" s="28"/>
      <x:c r="N40" s="29" t="str">
        <x:f>IF(A40="","",IF(AND(COUNT(H40:M40)=Start!$B$12,MIN(H40:M40)&gt;=0,MAX(H40:M40)&lt;=Start!$B$11),SUM(H40:M40),""))</x:f>
      </x:c>
      <x:c r="O40" s="21"/>
      <x:c r="P40" s="21"/>
      <x:c r="Q40" s="21"/>
      <x:c r="R40" s="21"/>
      <x:c r="S40" s="21"/>
      <x:c r="T40" s="21"/>
      <x:c r="U40" s="26" t="str">
        <x:f>IF(A40="","",IF(AND(R40="LIVE",G40="Adjudicated",ISNUMBER(N40),B40&lt;&gt;"",C40&lt;&gt;"",D40&lt;&gt;"",E40&lt;&gt;"",F40&lt;&gt;"",O40&lt;&gt;"",P40&lt;&gt;"",Q40&lt;&gt;"",S40&lt;&gt;""),"ELIGIBLE","EXCLUDED"))</x:f>
      </x:c>
    </x:row>
    <x:row r="41" ht="32" customHeight="1">
      <x:c r="A41" s="21"/>
      <x:c r="B41" s="21"/>
      <x:c r="C41" s="21"/>
      <x:c r="D41" s="21"/>
      <x:c r="E41" s="21"/>
      <x:c r="F41" s="21"/>
      <x:c r="G41" s="21"/>
      <x:c r="H41" s="28"/>
      <x:c r="I41" s="28"/>
      <x:c r="J41" s="28"/>
      <x:c r="K41" s="28"/>
      <x:c r="L41" s="28"/>
      <x:c r="M41" s="28"/>
      <x:c r="N41" s="29" t="str">
        <x:f>IF(A41="","",IF(AND(COUNT(H41:M41)=Start!$B$12,MIN(H41:M41)&gt;=0,MAX(H41:M41)&lt;=Start!$B$11),SUM(H41:M41),""))</x:f>
      </x:c>
      <x:c r="O41" s="21"/>
      <x:c r="P41" s="21"/>
      <x:c r="Q41" s="21"/>
      <x:c r="R41" s="21"/>
      <x:c r="S41" s="21"/>
      <x:c r="T41" s="21"/>
      <x:c r="U41" s="26" t="str">
        <x:f>IF(A41="","",IF(AND(R41="LIVE",G41="Adjudicated",ISNUMBER(N41),B41&lt;&gt;"",C41&lt;&gt;"",D41&lt;&gt;"",E41&lt;&gt;"",F41&lt;&gt;"",O41&lt;&gt;"",P41&lt;&gt;"",Q41&lt;&gt;"",S41&lt;&gt;""),"ELIGIBLE","EXCLUDED"))</x:f>
      </x:c>
    </x:row>
    <x:row r="42" ht="32" customHeight="1">
      <x:c r="A42" s="21"/>
      <x:c r="B42" s="21"/>
      <x:c r="C42" s="21"/>
      <x:c r="D42" s="21"/>
      <x:c r="E42" s="21"/>
      <x:c r="F42" s="21"/>
      <x:c r="G42" s="21"/>
      <x:c r="H42" s="28"/>
      <x:c r="I42" s="28"/>
      <x:c r="J42" s="28"/>
      <x:c r="K42" s="28"/>
      <x:c r="L42" s="28"/>
      <x:c r="M42" s="28"/>
      <x:c r="N42" s="29" t="str">
        <x:f>IF(A42="","",IF(AND(COUNT(H42:M42)=Start!$B$12,MIN(H42:M42)&gt;=0,MAX(H42:M42)&lt;=Start!$B$11),SUM(H42:M42),""))</x:f>
      </x:c>
      <x:c r="O42" s="21"/>
      <x:c r="P42" s="21"/>
      <x:c r="Q42" s="21"/>
      <x:c r="R42" s="21"/>
      <x:c r="S42" s="21"/>
      <x:c r="T42" s="21"/>
      <x:c r="U42" s="26" t="str">
        <x:f>IF(A42="","",IF(AND(R42="LIVE",G42="Adjudicated",ISNUMBER(N42),B42&lt;&gt;"",C42&lt;&gt;"",D42&lt;&gt;"",E42&lt;&gt;"",F42&lt;&gt;"",O42&lt;&gt;"",P42&lt;&gt;"",Q42&lt;&gt;"",S42&lt;&gt;""),"ELIGIBLE","EXCLUDED"))</x:f>
      </x:c>
    </x:row>
    <x:row r="43" ht="32" customHeight="1">
      <x:c r="A43" s="21"/>
      <x:c r="B43" s="21"/>
      <x:c r="C43" s="21"/>
      <x:c r="D43" s="21"/>
      <x:c r="E43" s="21"/>
      <x:c r="F43" s="21"/>
      <x:c r="G43" s="21"/>
      <x:c r="H43" s="28"/>
      <x:c r="I43" s="28"/>
      <x:c r="J43" s="28"/>
      <x:c r="K43" s="28"/>
      <x:c r="L43" s="28"/>
      <x:c r="M43" s="28"/>
      <x:c r="N43" s="29" t="str">
        <x:f>IF(A43="","",IF(AND(COUNT(H43:M43)=Start!$B$12,MIN(H43:M43)&gt;=0,MAX(H43:M43)&lt;=Start!$B$11),SUM(H43:M43),""))</x:f>
      </x:c>
      <x:c r="O43" s="21"/>
      <x:c r="P43" s="21"/>
      <x:c r="Q43" s="21"/>
      <x:c r="R43" s="21"/>
      <x:c r="S43" s="21"/>
      <x:c r="T43" s="21"/>
      <x:c r="U43" s="26" t="str">
        <x:f>IF(A43="","",IF(AND(R43="LIVE",G43="Adjudicated",ISNUMBER(N43),B43&lt;&gt;"",C43&lt;&gt;"",D43&lt;&gt;"",E43&lt;&gt;"",F43&lt;&gt;"",O43&lt;&gt;"",P43&lt;&gt;"",Q43&lt;&gt;"",S43&lt;&gt;""),"ELIGIBLE","EXCLUDED"))</x:f>
      </x:c>
    </x:row>
    <x:row r="44" ht="32" customHeight="1">
      <x:c r="A44" s="21"/>
      <x:c r="B44" s="21"/>
      <x:c r="C44" s="21"/>
      <x:c r="D44" s="21"/>
      <x:c r="E44" s="21"/>
      <x:c r="F44" s="21"/>
      <x:c r="G44" s="21"/>
      <x:c r="H44" s="28"/>
      <x:c r="I44" s="28"/>
      <x:c r="J44" s="28"/>
      <x:c r="K44" s="28"/>
      <x:c r="L44" s="28"/>
      <x:c r="M44" s="28"/>
      <x:c r="N44" s="29" t="str">
        <x:f>IF(A44="","",IF(AND(COUNT(H44:M44)=Start!$B$12,MIN(H44:M44)&gt;=0,MAX(H44:M44)&lt;=Start!$B$11),SUM(H44:M44),""))</x:f>
      </x:c>
      <x:c r="O44" s="21"/>
      <x:c r="P44" s="21"/>
      <x:c r="Q44" s="21"/>
      <x:c r="R44" s="21"/>
      <x:c r="S44" s="21"/>
      <x:c r="T44" s="21"/>
      <x:c r="U44" s="26" t="str">
        <x:f>IF(A44="","",IF(AND(R44="LIVE",G44="Adjudicated",ISNUMBER(N44),B44&lt;&gt;"",C44&lt;&gt;"",D44&lt;&gt;"",E44&lt;&gt;"",F44&lt;&gt;"",O44&lt;&gt;"",P44&lt;&gt;"",Q44&lt;&gt;"",S44&lt;&gt;""),"ELIGIBLE","EXCLUDED"))</x:f>
      </x:c>
    </x:row>
    <x:row r="45" ht="32" customHeight="1">
      <x:c r="A45" s="21"/>
      <x:c r="B45" s="21"/>
      <x:c r="C45" s="21"/>
      <x:c r="D45" s="21"/>
      <x:c r="E45" s="21"/>
      <x:c r="F45" s="21"/>
      <x:c r="G45" s="21"/>
      <x:c r="H45" s="28"/>
      <x:c r="I45" s="28"/>
      <x:c r="J45" s="28"/>
      <x:c r="K45" s="28"/>
      <x:c r="L45" s="28"/>
      <x:c r="M45" s="28"/>
      <x:c r="N45" s="29" t="str">
        <x:f>IF(A45="","",IF(AND(COUNT(H45:M45)=Start!$B$12,MIN(H45:M45)&gt;=0,MAX(H45:M45)&lt;=Start!$B$11),SUM(H45:M45),""))</x:f>
      </x:c>
      <x:c r="O45" s="21"/>
      <x:c r="P45" s="21"/>
      <x:c r="Q45" s="21"/>
      <x:c r="R45" s="21"/>
      <x:c r="S45" s="21"/>
      <x:c r="T45" s="21"/>
      <x:c r="U45" s="26" t="str">
        <x:f>IF(A45="","",IF(AND(R45="LIVE",G45="Adjudicated",ISNUMBER(N45),B45&lt;&gt;"",C45&lt;&gt;"",D45&lt;&gt;"",E45&lt;&gt;"",F45&lt;&gt;"",O45&lt;&gt;"",P45&lt;&gt;"",Q45&lt;&gt;"",S45&lt;&gt;""),"ELIGIBLE","EXCLUDED"))</x:f>
      </x:c>
    </x:row>
    <x:row r="46" ht="32" customHeight="1">
      <x:c r="A46" s="21"/>
      <x:c r="B46" s="21"/>
      <x:c r="C46" s="21"/>
      <x:c r="D46" s="21"/>
      <x:c r="E46" s="21"/>
      <x:c r="F46" s="21"/>
      <x:c r="G46" s="21"/>
      <x:c r="H46" s="28"/>
      <x:c r="I46" s="28"/>
      <x:c r="J46" s="28"/>
      <x:c r="K46" s="28"/>
      <x:c r="L46" s="28"/>
      <x:c r="M46" s="28"/>
      <x:c r="N46" s="29" t="str">
        <x:f>IF(A46="","",IF(AND(COUNT(H46:M46)=Start!$B$12,MIN(H46:M46)&gt;=0,MAX(H46:M46)&lt;=Start!$B$11),SUM(H46:M46),""))</x:f>
      </x:c>
      <x:c r="O46" s="21"/>
      <x:c r="P46" s="21"/>
      <x:c r="Q46" s="21"/>
      <x:c r="R46" s="21"/>
      <x:c r="S46" s="21"/>
      <x:c r="T46" s="21"/>
      <x:c r="U46" s="26" t="str">
        <x:f>IF(A46="","",IF(AND(R46="LIVE",G46="Adjudicated",ISNUMBER(N46),B46&lt;&gt;"",C46&lt;&gt;"",D46&lt;&gt;"",E46&lt;&gt;"",F46&lt;&gt;"",O46&lt;&gt;"",P46&lt;&gt;"",Q46&lt;&gt;"",S46&lt;&gt;""),"ELIGIBLE","EXCLUDED"))</x:f>
      </x:c>
    </x:row>
    <x:row r="47" ht="32" customHeight="1">
      <x:c r="A47" s="21"/>
      <x:c r="B47" s="21"/>
      <x:c r="C47" s="21"/>
      <x:c r="D47" s="21"/>
      <x:c r="E47" s="21"/>
      <x:c r="F47" s="21"/>
      <x:c r="G47" s="21"/>
      <x:c r="H47" s="28"/>
      <x:c r="I47" s="28"/>
      <x:c r="J47" s="28"/>
      <x:c r="K47" s="28"/>
      <x:c r="L47" s="28"/>
      <x:c r="M47" s="28"/>
      <x:c r="N47" s="29" t="str">
        <x:f>IF(A47="","",IF(AND(COUNT(H47:M47)=Start!$B$12,MIN(H47:M47)&gt;=0,MAX(H47:M47)&lt;=Start!$B$11),SUM(H47:M47),""))</x:f>
      </x:c>
      <x:c r="O47" s="21"/>
      <x:c r="P47" s="21"/>
      <x:c r="Q47" s="21"/>
      <x:c r="R47" s="21"/>
      <x:c r="S47" s="21"/>
      <x:c r="T47" s="21"/>
      <x:c r="U47" s="26" t="str">
        <x:f>IF(A47="","",IF(AND(R47="LIVE",G47="Adjudicated",ISNUMBER(N47),B47&lt;&gt;"",C47&lt;&gt;"",D47&lt;&gt;"",E47&lt;&gt;"",F47&lt;&gt;"",O47&lt;&gt;"",P47&lt;&gt;"",Q47&lt;&gt;"",S47&lt;&gt;""),"ELIGIBLE","EXCLUDED"))</x:f>
      </x:c>
    </x:row>
    <x:row r="48" ht="32" customHeight="1">
      <x:c r="A48" s="21"/>
      <x:c r="B48" s="21"/>
      <x:c r="C48" s="21"/>
      <x:c r="D48" s="21"/>
      <x:c r="E48" s="21"/>
      <x:c r="F48" s="21"/>
      <x:c r="G48" s="21"/>
      <x:c r="H48" s="28"/>
      <x:c r="I48" s="28"/>
      <x:c r="J48" s="28"/>
      <x:c r="K48" s="28"/>
      <x:c r="L48" s="28"/>
      <x:c r="M48" s="28"/>
      <x:c r="N48" s="29" t="str">
        <x:f>IF(A48="","",IF(AND(COUNT(H48:M48)=Start!$B$12,MIN(H48:M48)&gt;=0,MAX(H48:M48)&lt;=Start!$B$11),SUM(H48:M48),""))</x:f>
      </x:c>
      <x:c r="O48" s="21"/>
      <x:c r="P48" s="21"/>
      <x:c r="Q48" s="21"/>
      <x:c r="R48" s="21"/>
      <x:c r="S48" s="21"/>
      <x:c r="T48" s="21"/>
      <x:c r="U48" s="26" t="str">
        <x:f>IF(A48="","",IF(AND(R48="LIVE",G48="Adjudicated",ISNUMBER(N48),B48&lt;&gt;"",C48&lt;&gt;"",D48&lt;&gt;"",E48&lt;&gt;"",F48&lt;&gt;"",O48&lt;&gt;"",P48&lt;&gt;"",Q48&lt;&gt;"",S48&lt;&gt;""),"ELIGIBLE","EXCLUDED"))</x:f>
      </x:c>
    </x:row>
    <x:row r="49" ht="32" customHeight="1">
      <x:c r="A49" s="21"/>
      <x:c r="B49" s="21"/>
      <x:c r="C49" s="21"/>
      <x:c r="D49" s="21"/>
      <x:c r="E49" s="21"/>
      <x:c r="F49" s="21"/>
      <x:c r="G49" s="21"/>
      <x:c r="H49" s="28"/>
      <x:c r="I49" s="28"/>
      <x:c r="J49" s="28"/>
      <x:c r="K49" s="28"/>
      <x:c r="L49" s="28"/>
      <x:c r="M49" s="28"/>
      <x:c r="N49" s="29" t="str">
        <x:f>IF(A49="","",IF(AND(COUNT(H49:M49)=Start!$B$12,MIN(H49:M49)&gt;=0,MAX(H49:M49)&lt;=Start!$B$11),SUM(H49:M49),""))</x:f>
      </x:c>
      <x:c r="O49" s="21"/>
      <x:c r="P49" s="21"/>
      <x:c r="Q49" s="21"/>
      <x:c r="R49" s="21"/>
      <x:c r="S49" s="21"/>
      <x:c r="T49" s="21"/>
      <x:c r="U49" s="26" t="str">
        <x:f>IF(A49="","",IF(AND(R49="LIVE",G49="Adjudicated",ISNUMBER(N49),B49&lt;&gt;"",C49&lt;&gt;"",D49&lt;&gt;"",E49&lt;&gt;"",F49&lt;&gt;"",O49&lt;&gt;"",P49&lt;&gt;"",Q49&lt;&gt;"",S49&lt;&gt;""),"ELIGIBLE","EXCLUDED"))</x:f>
      </x:c>
    </x:row>
    <x:row r="50" ht="32" customHeight="1">
      <x:c r="A50" s="21"/>
      <x:c r="B50" s="21"/>
      <x:c r="C50" s="21"/>
      <x:c r="D50" s="21"/>
      <x:c r="E50" s="21"/>
      <x:c r="F50" s="21"/>
      <x:c r="G50" s="21"/>
      <x:c r="H50" s="28"/>
      <x:c r="I50" s="28"/>
      <x:c r="J50" s="28"/>
      <x:c r="K50" s="28"/>
      <x:c r="L50" s="28"/>
      <x:c r="M50" s="28"/>
      <x:c r="N50" s="29" t="str">
        <x:f>IF(A50="","",IF(AND(COUNT(H50:M50)=Start!$B$12,MIN(H50:M50)&gt;=0,MAX(H50:M50)&lt;=Start!$B$11),SUM(H50:M50),""))</x:f>
      </x:c>
      <x:c r="O50" s="21"/>
      <x:c r="P50" s="21"/>
      <x:c r="Q50" s="21"/>
      <x:c r="R50" s="21"/>
      <x:c r="S50" s="21"/>
      <x:c r="T50" s="21"/>
      <x:c r="U50" s="26" t="str">
        <x:f>IF(A50="","",IF(AND(R50="LIVE",G50="Adjudicated",ISNUMBER(N50),B50&lt;&gt;"",C50&lt;&gt;"",D50&lt;&gt;"",E50&lt;&gt;"",F50&lt;&gt;"",O50&lt;&gt;"",P50&lt;&gt;"",Q50&lt;&gt;"",S50&lt;&gt;""),"ELIGIBLE","EXCLUDED"))</x:f>
      </x:c>
    </x:row>
    <x:row r="51" ht="32" customHeight="1">
      <x:c r="A51" s="21"/>
      <x:c r="B51" s="21"/>
      <x:c r="C51" s="21"/>
      <x:c r="D51" s="21"/>
      <x:c r="E51" s="21"/>
      <x:c r="F51" s="21"/>
      <x:c r="G51" s="21"/>
      <x:c r="H51" s="28"/>
      <x:c r="I51" s="28"/>
      <x:c r="J51" s="28"/>
      <x:c r="K51" s="28"/>
      <x:c r="L51" s="28"/>
      <x:c r="M51" s="28"/>
      <x:c r="N51" s="29" t="str">
        <x:f>IF(A51="","",IF(AND(COUNT(H51:M51)=Start!$B$12,MIN(H51:M51)&gt;=0,MAX(H51:M51)&lt;=Start!$B$11),SUM(H51:M51),""))</x:f>
      </x:c>
      <x:c r="O51" s="21"/>
      <x:c r="P51" s="21"/>
      <x:c r="Q51" s="21"/>
      <x:c r="R51" s="21"/>
      <x:c r="S51" s="21"/>
      <x:c r="T51" s="21"/>
      <x:c r="U51" s="26" t="str">
        <x:f>IF(A51="","",IF(AND(R51="LIVE",G51="Adjudicated",ISNUMBER(N51),B51&lt;&gt;"",C51&lt;&gt;"",D51&lt;&gt;"",E51&lt;&gt;"",F51&lt;&gt;"",O51&lt;&gt;"",P51&lt;&gt;"",Q51&lt;&gt;"",S51&lt;&gt;""),"ELIGIBLE","EXCLUDED"))</x:f>
      </x:c>
    </x:row>
    <x:row r="52" ht="32" customHeight="1">
      <x:c r="A52" s="21"/>
      <x:c r="B52" s="21"/>
      <x:c r="C52" s="21"/>
      <x:c r="D52" s="21"/>
      <x:c r="E52" s="21"/>
      <x:c r="F52" s="21"/>
      <x:c r="G52" s="21"/>
      <x:c r="H52" s="28"/>
      <x:c r="I52" s="28"/>
      <x:c r="J52" s="28"/>
      <x:c r="K52" s="28"/>
      <x:c r="L52" s="28"/>
      <x:c r="M52" s="28"/>
      <x:c r="N52" s="29" t="str">
        <x:f>IF(A52="","",IF(AND(COUNT(H52:M52)=Start!$B$12,MIN(H52:M52)&gt;=0,MAX(H52:M52)&lt;=Start!$B$11),SUM(H52:M52),""))</x:f>
      </x:c>
      <x:c r="O52" s="21"/>
      <x:c r="P52" s="21"/>
      <x:c r="Q52" s="21"/>
      <x:c r="R52" s="21"/>
      <x:c r="S52" s="21"/>
      <x:c r="T52" s="21"/>
      <x:c r="U52" s="26" t="str">
        <x:f>IF(A52="","",IF(AND(R52="LIVE",G52="Adjudicated",ISNUMBER(N52),B52&lt;&gt;"",C52&lt;&gt;"",D52&lt;&gt;"",E52&lt;&gt;"",F52&lt;&gt;"",O52&lt;&gt;"",P52&lt;&gt;"",Q52&lt;&gt;"",S52&lt;&gt;""),"ELIGIBLE","EXCLUDED"))</x:f>
      </x:c>
    </x:row>
    <x:row r="53" ht="32" customHeight="1">
      <x:c r="A53" s="21"/>
      <x:c r="B53" s="21"/>
      <x:c r="C53" s="21"/>
      <x:c r="D53" s="21"/>
      <x:c r="E53" s="21"/>
      <x:c r="F53" s="21"/>
      <x:c r="G53" s="21"/>
      <x:c r="H53" s="28"/>
      <x:c r="I53" s="28"/>
      <x:c r="J53" s="28"/>
      <x:c r="K53" s="28"/>
      <x:c r="L53" s="28"/>
      <x:c r="M53" s="28"/>
      <x:c r="N53" s="29" t="str">
        <x:f>IF(A53="","",IF(AND(COUNT(H53:M53)=Start!$B$12,MIN(H53:M53)&gt;=0,MAX(H53:M53)&lt;=Start!$B$11),SUM(H53:M53),""))</x:f>
      </x:c>
      <x:c r="O53" s="21"/>
      <x:c r="P53" s="21"/>
      <x:c r="Q53" s="21"/>
      <x:c r="R53" s="21"/>
      <x:c r="S53" s="21"/>
      <x:c r="T53" s="21"/>
      <x:c r="U53" s="26" t="str">
        <x:f>IF(A53="","",IF(AND(R53="LIVE",G53="Adjudicated",ISNUMBER(N53),B53&lt;&gt;"",C53&lt;&gt;"",D53&lt;&gt;"",E53&lt;&gt;"",F53&lt;&gt;"",O53&lt;&gt;"",P53&lt;&gt;"",Q53&lt;&gt;"",S53&lt;&gt;""),"ELIGIBLE","EXCLUDED"))</x:f>
      </x:c>
    </x:row>
    <x:row r="54" ht="32" customHeight="1">
      <x:c r="A54" s="21"/>
      <x:c r="B54" s="21"/>
      <x:c r="C54" s="21"/>
      <x:c r="D54" s="21"/>
      <x:c r="E54" s="21"/>
      <x:c r="F54" s="21"/>
      <x:c r="G54" s="21"/>
      <x:c r="H54" s="28"/>
      <x:c r="I54" s="28"/>
      <x:c r="J54" s="28"/>
      <x:c r="K54" s="28"/>
      <x:c r="L54" s="28"/>
      <x:c r="M54" s="28"/>
      <x:c r="N54" s="29" t="str">
        <x:f>IF(A54="","",IF(AND(COUNT(H54:M54)=Start!$B$12,MIN(H54:M54)&gt;=0,MAX(H54:M54)&lt;=Start!$B$11),SUM(H54:M54),""))</x:f>
      </x:c>
      <x:c r="O54" s="21"/>
      <x:c r="P54" s="21"/>
      <x:c r="Q54" s="21"/>
      <x:c r="R54" s="21"/>
      <x:c r="S54" s="21"/>
      <x:c r="T54" s="21"/>
      <x:c r="U54" s="26" t="str">
        <x:f>IF(A54="","",IF(AND(R54="LIVE",G54="Adjudicated",ISNUMBER(N54),B54&lt;&gt;"",C54&lt;&gt;"",D54&lt;&gt;"",E54&lt;&gt;"",F54&lt;&gt;"",O54&lt;&gt;"",P54&lt;&gt;"",Q54&lt;&gt;"",S54&lt;&gt;""),"ELIGIBLE","EXCLUDED"))</x:f>
      </x:c>
    </x:row>
    <x:row r="55" ht="32" customHeight="1">
      <x:c r="A55" s="21"/>
      <x:c r="B55" s="21"/>
      <x:c r="C55" s="21"/>
      <x:c r="D55" s="21"/>
      <x:c r="E55" s="21"/>
      <x:c r="F55" s="21"/>
      <x:c r="G55" s="21"/>
      <x:c r="H55" s="28"/>
      <x:c r="I55" s="28"/>
      <x:c r="J55" s="28"/>
      <x:c r="K55" s="28"/>
      <x:c r="L55" s="28"/>
      <x:c r="M55" s="28"/>
      <x:c r="N55" s="29" t="str">
        <x:f>IF(A55="","",IF(AND(COUNT(H55:M55)=Start!$B$12,MIN(H55:M55)&gt;=0,MAX(H55:M55)&lt;=Start!$B$11),SUM(H55:M55),""))</x:f>
      </x:c>
      <x:c r="O55" s="21"/>
      <x:c r="P55" s="21"/>
      <x:c r="Q55" s="21"/>
      <x:c r="R55" s="21"/>
      <x:c r="S55" s="21"/>
      <x:c r="T55" s="21"/>
      <x:c r="U55" s="26" t="str">
        <x:f>IF(A55="","",IF(AND(R55="LIVE",G55="Adjudicated",ISNUMBER(N55),B55&lt;&gt;"",C55&lt;&gt;"",D55&lt;&gt;"",E55&lt;&gt;"",F55&lt;&gt;"",O55&lt;&gt;"",P55&lt;&gt;"",Q55&lt;&gt;"",S55&lt;&gt;""),"ELIGIBLE","EXCLUDED"))</x:f>
      </x:c>
    </x:row>
    <x:row r="56" ht="32" customHeight="1">
      <x:c r="A56" s="21"/>
      <x:c r="B56" s="21"/>
      <x:c r="C56" s="21"/>
      <x:c r="D56" s="21"/>
      <x:c r="E56" s="21"/>
      <x:c r="F56" s="21"/>
      <x:c r="G56" s="21"/>
      <x:c r="H56" s="28"/>
      <x:c r="I56" s="28"/>
      <x:c r="J56" s="28"/>
      <x:c r="K56" s="28"/>
      <x:c r="L56" s="28"/>
      <x:c r="M56" s="28"/>
      <x:c r="N56" s="29" t="str">
        <x:f>IF(A56="","",IF(AND(COUNT(H56:M56)=Start!$B$12,MIN(H56:M56)&gt;=0,MAX(H56:M56)&lt;=Start!$B$11),SUM(H56:M56),""))</x:f>
      </x:c>
      <x:c r="O56" s="21"/>
      <x:c r="P56" s="21"/>
      <x:c r="Q56" s="21"/>
      <x:c r="R56" s="21"/>
      <x:c r="S56" s="21"/>
      <x:c r="T56" s="21"/>
      <x:c r="U56" s="26" t="str">
        <x:f>IF(A56="","",IF(AND(R56="LIVE",G56="Adjudicated",ISNUMBER(N56),B56&lt;&gt;"",C56&lt;&gt;"",D56&lt;&gt;"",E56&lt;&gt;"",F56&lt;&gt;"",O56&lt;&gt;"",P56&lt;&gt;"",Q56&lt;&gt;"",S56&lt;&gt;""),"ELIGIBLE","EXCLUDED"))</x:f>
      </x:c>
    </x:row>
    <x:row r="57" ht="32" customHeight="1">
      <x:c r="A57" s="21"/>
      <x:c r="B57" s="21"/>
      <x:c r="C57" s="21"/>
      <x:c r="D57" s="21"/>
      <x:c r="E57" s="21"/>
      <x:c r="F57" s="21"/>
      <x:c r="G57" s="21"/>
      <x:c r="H57" s="28"/>
      <x:c r="I57" s="28"/>
      <x:c r="J57" s="28"/>
      <x:c r="K57" s="28"/>
      <x:c r="L57" s="28"/>
      <x:c r="M57" s="28"/>
      <x:c r="N57" s="29" t="str">
        <x:f>IF(A57="","",IF(AND(COUNT(H57:M57)=Start!$B$12,MIN(H57:M57)&gt;=0,MAX(H57:M57)&lt;=Start!$B$11),SUM(H57:M57),""))</x:f>
      </x:c>
      <x:c r="O57" s="21"/>
      <x:c r="P57" s="21"/>
      <x:c r="Q57" s="21"/>
      <x:c r="R57" s="21"/>
      <x:c r="S57" s="21"/>
      <x:c r="T57" s="21"/>
      <x:c r="U57" s="26" t="str">
        <x:f>IF(A57="","",IF(AND(R57="LIVE",G57="Adjudicated",ISNUMBER(N57),B57&lt;&gt;"",C57&lt;&gt;"",D57&lt;&gt;"",E57&lt;&gt;"",F57&lt;&gt;"",O57&lt;&gt;"",P57&lt;&gt;"",Q57&lt;&gt;"",S57&lt;&gt;""),"ELIGIBLE","EXCLUDED"))</x:f>
      </x:c>
    </x:row>
    <x:row r="58" ht="32" customHeight="1">
      <x:c r="A58" s="21"/>
      <x:c r="B58" s="21"/>
      <x:c r="C58" s="21"/>
      <x:c r="D58" s="21"/>
      <x:c r="E58" s="21"/>
      <x:c r="F58" s="21"/>
      <x:c r="G58" s="21"/>
      <x:c r="H58" s="28"/>
      <x:c r="I58" s="28"/>
      <x:c r="J58" s="28"/>
      <x:c r="K58" s="28"/>
      <x:c r="L58" s="28"/>
      <x:c r="M58" s="28"/>
      <x:c r="N58" s="29" t="str">
        <x:f>IF(A58="","",IF(AND(COUNT(H58:M58)=Start!$B$12,MIN(H58:M58)&gt;=0,MAX(H58:M58)&lt;=Start!$B$11),SUM(H58:M58),""))</x:f>
      </x:c>
      <x:c r="O58" s="21"/>
      <x:c r="P58" s="21"/>
      <x:c r="Q58" s="21"/>
      <x:c r="R58" s="21"/>
      <x:c r="S58" s="21"/>
      <x:c r="T58" s="21"/>
      <x:c r="U58" s="26" t="str">
        <x:f>IF(A58="","",IF(AND(R58="LIVE",G58="Adjudicated",ISNUMBER(N58),B58&lt;&gt;"",C58&lt;&gt;"",D58&lt;&gt;"",E58&lt;&gt;"",F58&lt;&gt;"",O58&lt;&gt;"",P58&lt;&gt;"",Q58&lt;&gt;"",S58&lt;&gt;""),"ELIGIBLE","EXCLUDED"))</x:f>
      </x:c>
    </x:row>
    <x:row r="59" ht="32" customHeight="1">
      <x:c r="A59" s="21"/>
      <x:c r="B59" s="21"/>
      <x:c r="C59" s="21"/>
      <x:c r="D59" s="21"/>
      <x:c r="E59" s="21"/>
      <x:c r="F59" s="21"/>
      <x:c r="G59" s="21"/>
      <x:c r="H59" s="28"/>
      <x:c r="I59" s="28"/>
      <x:c r="J59" s="28"/>
      <x:c r="K59" s="28"/>
      <x:c r="L59" s="28"/>
      <x:c r="M59" s="28"/>
      <x:c r="N59" s="29" t="str">
        <x:f>IF(A59="","",IF(AND(COUNT(H59:M59)=Start!$B$12,MIN(H59:M59)&gt;=0,MAX(H59:M59)&lt;=Start!$B$11),SUM(H59:M59),""))</x:f>
      </x:c>
      <x:c r="O59" s="21"/>
      <x:c r="P59" s="21"/>
      <x:c r="Q59" s="21"/>
      <x:c r="R59" s="21"/>
      <x:c r="S59" s="21"/>
      <x:c r="T59" s="21"/>
      <x:c r="U59" s="26" t="str">
        <x:f>IF(A59="","",IF(AND(R59="LIVE",G59="Adjudicated",ISNUMBER(N59),B59&lt;&gt;"",C59&lt;&gt;"",D59&lt;&gt;"",E59&lt;&gt;"",F59&lt;&gt;"",O59&lt;&gt;"",P59&lt;&gt;"",Q59&lt;&gt;"",S59&lt;&gt;""),"ELIGIBLE","EXCLUDED"))</x:f>
      </x:c>
    </x:row>
    <x:row r="60" ht="32" customHeight="1">
      <x:c r="A60" s="21"/>
      <x:c r="B60" s="21"/>
      <x:c r="C60" s="21"/>
      <x:c r="D60" s="21"/>
      <x:c r="E60" s="21"/>
      <x:c r="F60" s="21"/>
      <x:c r="G60" s="21"/>
      <x:c r="H60" s="28"/>
      <x:c r="I60" s="28"/>
      <x:c r="J60" s="28"/>
      <x:c r="K60" s="28"/>
      <x:c r="L60" s="28"/>
      <x:c r="M60" s="28"/>
      <x:c r="N60" s="29" t="str">
        <x:f>IF(A60="","",IF(AND(COUNT(H60:M60)=Start!$B$12,MIN(H60:M60)&gt;=0,MAX(H60:M60)&lt;=Start!$B$11),SUM(H60:M60),""))</x:f>
      </x:c>
      <x:c r="O60" s="21"/>
      <x:c r="P60" s="21"/>
      <x:c r="Q60" s="21"/>
      <x:c r="R60" s="21"/>
      <x:c r="S60" s="21"/>
      <x:c r="T60" s="21"/>
      <x:c r="U60" s="26" t="str">
        <x:f>IF(A60="","",IF(AND(R60="LIVE",G60="Adjudicated",ISNUMBER(N60),B60&lt;&gt;"",C60&lt;&gt;"",D60&lt;&gt;"",E60&lt;&gt;"",F60&lt;&gt;"",O60&lt;&gt;"",P60&lt;&gt;"",Q60&lt;&gt;"",S60&lt;&gt;""),"ELIGIBLE","EXCLUDED"))</x:f>
      </x:c>
    </x:row>
    <x:row r="61" ht="32" customHeight="1">
      <x:c r="A61" s="21"/>
      <x:c r="B61" s="21"/>
      <x:c r="C61" s="21"/>
      <x:c r="D61" s="21"/>
      <x:c r="E61" s="21"/>
      <x:c r="F61" s="21"/>
      <x:c r="G61" s="21"/>
      <x:c r="H61" s="28"/>
      <x:c r="I61" s="28"/>
      <x:c r="J61" s="28"/>
      <x:c r="K61" s="28"/>
      <x:c r="L61" s="28"/>
      <x:c r="M61" s="28"/>
      <x:c r="N61" s="29" t="str">
        <x:f>IF(A61="","",IF(AND(COUNT(H61:M61)=Start!$B$12,MIN(H61:M61)&gt;=0,MAX(H61:M61)&lt;=Start!$B$11),SUM(H61:M61),""))</x:f>
      </x:c>
      <x:c r="O61" s="21"/>
      <x:c r="P61" s="21"/>
      <x:c r="Q61" s="21"/>
      <x:c r="R61" s="21"/>
      <x:c r="S61" s="21"/>
      <x:c r="T61" s="21"/>
      <x:c r="U61" s="26" t="str">
        <x:f>IF(A61="","",IF(AND(R61="LIVE",G61="Adjudicated",ISNUMBER(N61),B61&lt;&gt;"",C61&lt;&gt;"",D61&lt;&gt;"",E61&lt;&gt;"",F61&lt;&gt;"",O61&lt;&gt;"",P61&lt;&gt;"",Q61&lt;&gt;"",S61&lt;&gt;""),"ELIGIBLE","EXCLUDED"))</x:f>
      </x:c>
    </x:row>
    <x:row r="62" ht="32" customHeight="1">
      <x:c r="A62" s="21"/>
      <x:c r="B62" s="21"/>
      <x:c r="C62" s="21"/>
      <x:c r="D62" s="21"/>
      <x:c r="E62" s="21"/>
      <x:c r="F62" s="21"/>
      <x:c r="G62" s="21"/>
      <x:c r="H62" s="28"/>
      <x:c r="I62" s="28"/>
      <x:c r="J62" s="28"/>
      <x:c r="K62" s="28"/>
      <x:c r="L62" s="28"/>
      <x:c r="M62" s="28"/>
      <x:c r="N62" s="29" t="str">
        <x:f>IF(A62="","",IF(AND(COUNT(H62:M62)=Start!$B$12,MIN(H62:M62)&gt;=0,MAX(H62:M62)&lt;=Start!$B$11),SUM(H62:M62),""))</x:f>
      </x:c>
      <x:c r="O62" s="21"/>
      <x:c r="P62" s="21"/>
      <x:c r="Q62" s="21"/>
      <x:c r="R62" s="21"/>
      <x:c r="S62" s="21"/>
      <x:c r="T62" s="21"/>
      <x:c r="U62" s="26" t="str">
        <x:f>IF(A62="","",IF(AND(R62="LIVE",G62="Adjudicated",ISNUMBER(N62),B62&lt;&gt;"",C62&lt;&gt;"",D62&lt;&gt;"",E62&lt;&gt;"",F62&lt;&gt;"",O62&lt;&gt;"",P62&lt;&gt;"",Q62&lt;&gt;"",S62&lt;&gt;""),"ELIGIBLE","EXCLUDED"))</x:f>
      </x:c>
    </x:row>
    <x:row r="63" ht="32" customHeight="1">
      <x:c r="A63" s="21"/>
      <x:c r="B63" s="21"/>
      <x:c r="C63" s="21"/>
      <x:c r="D63" s="21"/>
      <x:c r="E63" s="21"/>
      <x:c r="F63" s="21"/>
      <x:c r="G63" s="21"/>
      <x:c r="H63" s="28"/>
      <x:c r="I63" s="28"/>
      <x:c r="J63" s="28"/>
      <x:c r="K63" s="28"/>
      <x:c r="L63" s="28"/>
      <x:c r="M63" s="28"/>
      <x:c r="N63" s="29" t="str">
        <x:f>IF(A63="","",IF(AND(COUNT(H63:M63)=Start!$B$12,MIN(H63:M63)&gt;=0,MAX(H63:M63)&lt;=Start!$B$11),SUM(H63:M63),""))</x:f>
      </x:c>
      <x:c r="O63" s="21"/>
      <x:c r="P63" s="21"/>
      <x:c r="Q63" s="21"/>
      <x:c r="R63" s="21"/>
      <x:c r="S63" s="21"/>
      <x:c r="T63" s="21"/>
      <x:c r="U63" s="26" t="str">
        <x:f>IF(A63="","",IF(AND(R63="LIVE",G63="Adjudicated",ISNUMBER(N63),B63&lt;&gt;"",C63&lt;&gt;"",D63&lt;&gt;"",E63&lt;&gt;"",F63&lt;&gt;"",O63&lt;&gt;"",P63&lt;&gt;"",Q63&lt;&gt;"",S63&lt;&gt;""),"ELIGIBLE","EXCLUDED"))</x:f>
      </x:c>
    </x:row>
    <x:row r="64" ht="32" customHeight="1">
      <x:c r="A64" s="21"/>
      <x:c r="B64" s="21"/>
      <x:c r="C64" s="21"/>
      <x:c r="D64" s="21"/>
      <x:c r="E64" s="21"/>
      <x:c r="F64" s="21"/>
      <x:c r="G64" s="21"/>
      <x:c r="H64" s="28"/>
      <x:c r="I64" s="28"/>
      <x:c r="J64" s="28"/>
      <x:c r="K64" s="28"/>
      <x:c r="L64" s="28"/>
      <x:c r="M64" s="28"/>
      <x:c r="N64" s="29" t="str">
        <x:f>IF(A64="","",IF(AND(COUNT(H64:M64)=Start!$B$12,MIN(H64:M64)&gt;=0,MAX(H64:M64)&lt;=Start!$B$11),SUM(H64:M64),""))</x:f>
      </x:c>
      <x:c r="O64" s="21"/>
      <x:c r="P64" s="21"/>
      <x:c r="Q64" s="21"/>
      <x:c r="R64" s="21"/>
      <x:c r="S64" s="21"/>
      <x:c r="T64" s="21"/>
      <x:c r="U64" s="26" t="str">
        <x:f>IF(A64="","",IF(AND(R64="LIVE",G64="Adjudicated",ISNUMBER(N64),B64&lt;&gt;"",C64&lt;&gt;"",D64&lt;&gt;"",E64&lt;&gt;"",F64&lt;&gt;"",O64&lt;&gt;"",P64&lt;&gt;"",Q64&lt;&gt;"",S64&lt;&gt;""),"ELIGIBLE","EXCLUDED"))</x:f>
      </x:c>
    </x:row>
    <x:row r="65" ht="32" customHeight="1">
      <x:c r="A65" s="21"/>
      <x:c r="B65" s="21"/>
      <x:c r="C65" s="21"/>
      <x:c r="D65" s="21"/>
      <x:c r="E65" s="21"/>
      <x:c r="F65" s="21"/>
      <x:c r="G65" s="21"/>
      <x:c r="H65" s="28"/>
      <x:c r="I65" s="28"/>
      <x:c r="J65" s="28"/>
      <x:c r="K65" s="28"/>
      <x:c r="L65" s="28"/>
      <x:c r="M65" s="28"/>
      <x:c r="N65" s="29" t="str">
        <x:f>IF(A65="","",IF(AND(COUNT(H65:M65)=Start!$B$12,MIN(H65:M65)&gt;=0,MAX(H65:M65)&lt;=Start!$B$11),SUM(H65:M65),""))</x:f>
      </x:c>
      <x:c r="O65" s="21"/>
      <x:c r="P65" s="21"/>
      <x:c r="Q65" s="21"/>
      <x:c r="R65" s="21"/>
      <x:c r="S65" s="21"/>
      <x:c r="T65" s="21"/>
      <x:c r="U65" s="26" t="str">
        <x:f>IF(A65="","",IF(AND(R65="LIVE",G65="Adjudicated",ISNUMBER(N65),B65&lt;&gt;"",C65&lt;&gt;"",D65&lt;&gt;"",E65&lt;&gt;"",F65&lt;&gt;"",O65&lt;&gt;"",P65&lt;&gt;"",Q65&lt;&gt;"",S65&lt;&gt;""),"ELIGIBLE","EXCLUDED"))</x:f>
      </x:c>
    </x:row>
    <x:row r="66" ht="32" customHeight="1">
      <x:c r="A66" s="21"/>
      <x:c r="B66" s="21"/>
      <x:c r="C66" s="21"/>
      <x:c r="D66" s="21"/>
      <x:c r="E66" s="21"/>
      <x:c r="F66" s="21"/>
      <x:c r="G66" s="21"/>
      <x:c r="H66" s="28"/>
      <x:c r="I66" s="28"/>
      <x:c r="J66" s="28"/>
      <x:c r="K66" s="28"/>
      <x:c r="L66" s="28"/>
      <x:c r="M66" s="28"/>
      <x:c r="N66" s="29" t="str">
        <x:f>IF(A66="","",IF(AND(COUNT(H66:M66)=Start!$B$12,MIN(H66:M66)&gt;=0,MAX(H66:M66)&lt;=Start!$B$11),SUM(H66:M66),""))</x:f>
      </x:c>
      <x:c r="O66" s="21"/>
      <x:c r="P66" s="21"/>
      <x:c r="Q66" s="21"/>
      <x:c r="R66" s="21"/>
      <x:c r="S66" s="21"/>
      <x:c r="T66" s="21"/>
      <x:c r="U66" s="26" t="str">
        <x:f>IF(A66="","",IF(AND(R66="LIVE",G66="Adjudicated",ISNUMBER(N66),B66&lt;&gt;"",C66&lt;&gt;"",D66&lt;&gt;"",E66&lt;&gt;"",F66&lt;&gt;"",O66&lt;&gt;"",P66&lt;&gt;"",Q66&lt;&gt;"",S66&lt;&gt;""),"ELIGIBLE","EXCLUDED"))</x:f>
      </x:c>
    </x:row>
    <x:row r="67" ht="32" customHeight="1">
      <x:c r="A67" s="21"/>
      <x:c r="B67" s="21"/>
      <x:c r="C67" s="21"/>
      <x:c r="D67" s="21"/>
      <x:c r="E67" s="21"/>
      <x:c r="F67" s="21"/>
      <x:c r="G67" s="21"/>
      <x:c r="H67" s="28"/>
      <x:c r="I67" s="28"/>
      <x:c r="J67" s="28"/>
      <x:c r="K67" s="28"/>
      <x:c r="L67" s="28"/>
      <x:c r="M67" s="28"/>
      <x:c r="N67" s="29" t="str">
        <x:f>IF(A67="","",IF(AND(COUNT(H67:M67)=Start!$B$12,MIN(H67:M67)&gt;=0,MAX(H67:M67)&lt;=Start!$B$11),SUM(H67:M67),""))</x:f>
      </x:c>
      <x:c r="O67" s="21"/>
      <x:c r="P67" s="21"/>
      <x:c r="Q67" s="21"/>
      <x:c r="R67" s="21"/>
      <x:c r="S67" s="21"/>
      <x:c r="T67" s="21"/>
      <x:c r="U67" s="26" t="str">
        <x:f>IF(A67="","",IF(AND(R67="LIVE",G67="Adjudicated",ISNUMBER(N67),B67&lt;&gt;"",C67&lt;&gt;"",D67&lt;&gt;"",E67&lt;&gt;"",F67&lt;&gt;"",O67&lt;&gt;"",P67&lt;&gt;"",Q67&lt;&gt;"",S67&lt;&gt;""),"ELIGIBLE","EXCLUDED"))</x:f>
      </x:c>
    </x:row>
    <x:row r="68" ht="32" customHeight="1">
      <x:c r="A68" s="21"/>
      <x:c r="B68" s="21"/>
      <x:c r="C68" s="21"/>
      <x:c r="D68" s="21"/>
      <x:c r="E68" s="21"/>
      <x:c r="F68" s="21"/>
      <x:c r="G68" s="21"/>
      <x:c r="H68" s="28"/>
      <x:c r="I68" s="28"/>
      <x:c r="J68" s="28"/>
      <x:c r="K68" s="28"/>
      <x:c r="L68" s="28"/>
      <x:c r="M68" s="28"/>
      <x:c r="N68" s="29" t="str">
        <x:f>IF(A68="","",IF(AND(COUNT(H68:M68)=Start!$B$12,MIN(H68:M68)&gt;=0,MAX(H68:M68)&lt;=Start!$B$11),SUM(H68:M68),""))</x:f>
      </x:c>
      <x:c r="O68" s="21"/>
      <x:c r="P68" s="21"/>
      <x:c r="Q68" s="21"/>
      <x:c r="R68" s="21"/>
      <x:c r="S68" s="21"/>
      <x:c r="T68" s="21"/>
      <x:c r="U68" s="26" t="str">
        <x:f>IF(A68="","",IF(AND(R68="LIVE",G68="Adjudicated",ISNUMBER(N68),B68&lt;&gt;"",C68&lt;&gt;"",D68&lt;&gt;"",E68&lt;&gt;"",F68&lt;&gt;"",O68&lt;&gt;"",P68&lt;&gt;"",Q68&lt;&gt;"",S68&lt;&gt;""),"ELIGIBLE","EXCLUDED"))</x:f>
      </x:c>
    </x:row>
    <x:row r="69" ht="32" customHeight="1">
      <x:c r="A69" s="21"/>
      <x:c r="B69" s="21"/>
      <x:c r="C69" s="21"/>
      <x:c r="D69" s="21"/>
      <x:c r="E69" s="21"/>
      <x:c r="F69" s="21"/>
      <x:c r="G69" s="21"/>
      <x:c r="H69" s="28"/>
      <x:c r="I69" s="28"/>
      <x:c r="J69" s="28"/>
      <x:c r="K69" s="28"/>
      <x:c r="L69" s="28"/>
      <x:c r="M69" s="28"/>
      <x:c r="N69" s="29" t="str">
        <x:f>IF(A69="","",IF(AND(COUNT(H69:M69)=Start!$B$12,MIN(H69:M69)&gt;=0,MAX(H69:M69)&lt;=Start!$B$11),SUM(H69:M69),""))</x:f>
      </x:c>
      <x:c r="O69" s="21"/>
      <x:c r="P69" s="21"/>
      <x:c r="Q69" s="21"/>
      <x:c r="R69" s="21"/>
      <x:c r="S69" s="21"/>
      <x:c r="T69" s="21"/>
      <x:c r="U69" s="26" t="str">
        <x:f>IF(A69="","",IF(AND(R69="LIVE",G69="Adjudicated",ISNUMBER(N69),B69&lt;&gt;"",C69&lt;&gt;"",D69&lt;&gt;"",E69&lt;&gt;"",F69&lt;&gt;"",O69&lt;&gt;"",P69&lt;&gt;"",Q69&lt;&gt;"",S69&lt;&gt;""),"ELIGIBLE","EXCLUDED"))</x:f>
      </x:c>
    </x:row>
    <x:row r="70" ht="32" customHeight="1">
      <x:c r="A70" s="21"/>
      <x:c r="B70" s="21"/>
      <x:c r="C70" s="21"/>
      <x:c r="D70" s="21"/>
      <x:c r="E70" s="21"/>
      <x:c r="F70" s="21"/>
      <x:c r="G70" s="21"/>
      <x:c r="H70" s="28"/>
      <x:c r="I70" s="28"/>
      <x:c r="J70" s="28"/>
      <x:c r="K70" s="28"/>
      <x:c r="L70" s="28"/>
      <x:c r="M70" s="28"/>
      <x:c r="N70" s="29" t="str">
        <x:f>IF(A70="","",IF(AND(COUNT(H70:M70)=Start!$B$12,MIN(H70:M70)&gt;=0,MAX(H70:M70)&lt;=Start!$B$11),SUM(H70:M70),""))</x:f>
      </x:c>
      <x:c r="O70" s="21"/>
      <x:c r="P70" s="21"/>
      <x:c r="Q70" s="21"/>
      <x:c r="R70" s="21"/>
      <x:c r="S70" s="21"/>
      <x:c r="T70" s="21"/>
      <x:c r="U70" s="26" t="str">
        <x:f>IF(A70="","",IF(AND(R70="LIVE",G70="Adjudicated",ISNUMBER(N70),B70&lt;&gt;"",C70&lt;&gt;"",D70&lt;&gt;"",E70&lt;&gt;"",F70&lt;&gt;"",O70&lt;&gt;"",P70&lt;&gt;"",Q70&lt;&gt;"",S70&lt;&gt;""),"ELIGIBLE","EXCLUDED"))</x:f>
      </x:c>
    </x:row>
    <x:row r="71" ht="32" customHeight="1">
      <x:c r="A71" s="21"/>
      <x:c r="B71" s="21"/>
      <x:c r="C71" s="21"/>
      <x:c r="D71" s="21"/>
      <x:c r="E71" s="21"/>
      <x:c r="F71" s="21"/>
      <x:c r="G71" s="21"/>
      <x:c r="H71" s="28"/>
      <x:c r="I71" s="28"/>
      <x:c r="J71" s="28"/>
      <x:c r="K71" s="28"/>
      <x:c r="L71" s="28"/>
      <x:c r="M71" s="28"/>
      <x:c r="N71" s="29" t="str">
        <x:f>IF(A71="","",IF(AND(COUNT(H71:M71)=Start!$B$12,MIN(H71:M71)&gt;=0,MAX(H71:M71)&lt;=Start!$B$11),SUM(H71:M71),""))</x:f>
      </x:c>
      <x:c r="O71" s="21"/>
      <x:c r="P71" s="21"/>
      <x:c r="Q71" s="21"/>
      <x:c r="R71" s="21"/>
      <x:c r="S71" s="21"/>
      <x:c r="T71" s="21"/>
      <x:c r="U71" s="26" t="str">
        <x:f>IF(A71="","",IF(AND(R71="LIVE",G71="Adjudicated",ISNUMBER(N71),B71&lt;&gt;"",C71&lt;&gt;"",D71&lt;&gt;"",E71&lt;&gt;"",F71&lt;&gt;"",O71&lt;&gt;"",P71&lt;&gt;"",Q71&lt;&gt;"",S71&lt;&gt;""),"ELIGIBLE","EXCLUDED"))</x:f>
      </x:c>
    </x:row>
    <x:row r="72" ht="32" customHeight="1">
      <x:c r="A72" s="21"/>
      <x:c r="B72" s="21"/>
      <x:c r="C72" s="21"/>
      <x:c r="D72" s="21"/>
      <x:c r="E72" s="21"/>
      <x:c r="F72" s="21"/>
      <x:c r="G72" s="21"/>
      <x:c r="H72" s="28"/>
      <x:c r="I72" s="28"/>
      <x:c r="J72" s="28"/>
      <x:c r="K72" s="28"/>
      <x:c r="L72" s="28"/>
      <x:c r="M72" s="28"/>
      <x:c r="N72" s="29" t="str">
        <x:f>IF(A72="","",IF(AND(COUNT(H72:M72)=Start!$B$12,MIN(H72:M72)&gt;=0,MAX(H72:M72)&lt;=Start!$B$11),SUM(H72:M72),""))</x:f>
      </x:c>
      <x:c r="O72" s="21"/>
      <x:c r="P72" s="21"/>
      <x:c r="Q72" s="21"/>
      <x:c r="R72" s="21"/>
      <x:c r="S72" s="21"/>
      <x:c r="T72" s="21"/>
      <x:c r="U72" s="26" t="str">
        <x:f>IF(A72="","",IF(AND(R72="LIVE",G72="Adjudicated",ISNUMBER(N72),B72&lt;&gt;"",C72&lt;&gt;"",D72&lt;&gt;"",E72&lt;&gt;"",F72&lt;&gt;"",O72&lt;&gt;"",P72&lt;&gt;"",Q72&lt;&gt;"",S72&lt;&gt;""),"ELIGIBLE","EXCLUDED"))</x:f>
      </x:c>
    </x:row>
    <x:row r="73" ht="32" customHeight="1">
      <x:c r="A73" s="21"/>
      <x:c r="B73" s="21"/>
      <x:c r="C73" s="21"/>
      <x:c r="D73" s="21"/>
      <x:c r="E73" s="21"/>
      <x:c r="F73" s="21"/>
      <x:c r="G73" s="21"/>
      <x:c r="H73" s="28"/>
      <x:c r="I73" s="28"/>
      <x:c r="J73" s="28"/>
      <x:c r="K73" s="28"/>
      <x:c r="L73" s="28"/>
      <x:c r="M73" s="28"/>
      <x:c r="N73" s="29" t="str">
        <x:f>IF(A73="","",IF(AND(COUNT(H73:M73)=Start!$B$12,MIN(H73:M73)&gt;=0,MAX(H73:M73)&lt;=Start!$B$11),SUM(H73:M73),""))</x:f>
      </x:c>
      <x:c r="O73" s="21"/>
      <x:c r="P73" s="21"/>
      <x:c r="Q73" s="21"/>
      <x:c r="R73" s="21"/>
      <x:c r="S73" s="21"/>
      <x:c r="T73" s="21"/>
      <x:c r="U73" s="26" t="str">
        <x:f>IF(A73="","",IF(AND(R73="LIVE",G73="Adjudicated",ISNUMBER(N73),B73&lt;&gt;"",C73&lt;&gt;"",D73&lt;&gt;"",E73&lt;&gt;"",F73&lt;&gt;"",O73&lt;&gt;"",P73&lt;&gt;"",Q73&lt;&gt;"",S73&lt;&gt;""),"ELIGIBLE","EXCLUDED"))</x:f>
      </x:c>
    </x:row>
    <x:row r="74" ht="32" customHeight="1">
      <x:c r="A74" s="21"/>
      <x:c r="B74" s="21"/>
      <x:c r="C74" s="21"/>
      <x:c r="D74" s="21"/>
      <x:c r="E74" s="21"/>
      <x:c r="F74" s="21"/>
      <x:c r="G74" s="21"/>
      <x:c r="H74" s="28"/>
      <x:c r="I74" s="28"/>
      <x:c r="J74" s="28"/>
      <x:c r="K74" s="28"/>
      <x:c r="L74" s="28"/>
      <x:c r="M74" s="28"/>
      <x:c r="N74" s="29" t="str">
        <x:f>IF(A74="","",IF(AND(COUNT(H74:M74)=Start!$B$12,MIN(H74:M74)&gt;=0,MAX(H74:M74)&lt;=Start!$B$11),SUM(H74:M74),""))</x:f>
      </x:c>
      <x:c r="O74" s="21"/>
      <x:c r="P74" s="21"/>
      <x:c r="Q74" s="21"/>
      <x:c r="R74" s="21"/>
      <x:c r="S74" s="21"/>
      <x:c r="T74" s="21"/>
      <x:c r="U74" s="26" t="str">
        <x:f>IF(A74="","",IF(AND(R74="LIVE",G74="Adjudicated",ISNUMBER(N74),B74&lt;&gt;"",C74&lt;&gt;"",D74&lt;&gt;"",E74&lt;&gt;"",F74&lt;&gt;"",O74&lt;&gt;"",P74&lt;&gt;"",Q74&lt;&gt;"",S74&lt;&gt;""),"ELIGIBLE","EXCLUDED"))</x:f>
      </x:c>
    </x:row>
    <x:row r="75" ht="32" customHeight="1">
      <x:c r="A75" s="21"/>
      <x:c r="B75" s="21"/>
      <x:c r="C75" s="21"/>
      <x:c r="D75" s="21"/>
      <x:c r="E75" s="21"/>
      <x:c r="F75" s="21"/>
      <x:c r="G75" s="21"/>
      <x:c r="H75" s="28"/>
      <x:c r="I75" s="28"/>
      <x:c r="J75" s="28"/>
      <x:c r="K75" s="28"/>
      <x:c r="L75" s="28"/>
      <x:c r="M75" s="28"/>
      <x:c r="N75" s="29" t="str">
        <x:f>IF(A75="","",IF(AND(COUNT(H75:M75)=Start!$B$12,MIN(H75:M75)&gt;=0,MAX(H75:M75)&lt;=Start!$B$11),SUM(H75:M75),""))</x:f>
      </x:c>
      <x:c r="O75" s="21"/>
      <x:c r="P75" s="21"/>
      <x:c r="Q75" s="21"/>
      <x:c r="R75" s="21"/>
      <x:c r="S75" s="21"/>
      <x:c r="T75" s="21"/>
      <x:c r="U75" s="26" t="str">
        <x:f>IF(A75="","",IF(AND(R75="LIVE",G75="Adjudicated",ISNUMBER(N75),B75&lt;&gt;"",C75&lt;&gt;"",D75&lt;&gt;"",E75&lt;&gt;"",F75&lt;&gt;"",O75&lt;&gt;"",P75&lt;&gt;"",Q75&lt;&gt;"",S75&lt;&gt;""),"ELIGIBLE","EXCLUDED"))</x:f>
      </x:c>
    </x:row>
    <x:row r="76" ht="32" customHeight="1">
      <x:c r="A76" s="21"/>
      <x:c r="B76" s="21"/>
      <x:c r="C76" s="21"/>
      <x:c r="D76" s="21"/>
      <x:c r="E76" s="21"/>
      <x:c r="F76" s="21"/>
      <x:c r="G76" s="21"/>
      <x:c r="H76" s="28"/>
      <x:c r="I76" s="28"/>
      <x:c r="J76" s="28"/>
      <x:c r="K76" s="28"/>
      <x:c r="L76" s="28"/>
      <x:c r="M76" s="28"/>
      <x:c r="N76" s="29" t="str">
        <x:f>IF(A76="","",IF(AND(COUNT(H76:M76)=Start!$B$12,MIN(H76:M76)&gt;=0,MAX(H76:M76)&lt;=Start!$B$11),SUM(H76:M76),""))</x:f>
      </x:c>
      <x:c r="O76" s="21"/>
      <x:c r="P76" s="21"/>
      <x:c r="Q76" s="21"/>
      <x:c r="R76" s="21"/>
      <x:c r="S76" s="21"/>
      <x:c r="T76" s="21"/>
      <x:c r="U76" s="26" t="str">
        <x:f>IF(A76="","",IF(AND(R76="LIVE",G76="Adjudicated",ISNUMBER(N76),B76&lt;&gt;"",C76&lt;&gt;"",D76&lt;&gt;"",E76&lt;&gt;"",F76&lt;&gt;"",O76&lt;&gt;"",P76&lt;&gt;"",Q76&lt;&gt;"",S76&lt;&gt;""),"ELIGIBLE","EXCLUDED"))</x:f>
      </x:c>
    </x:row>
    <x:row r="77" ht="32" customHeight="1">
      <x:c r="A77" s="21"/>
      <x:c r="B77" s="21"/>
      <x:c r="C77" s="21"/>
      <x:c r="D77" s="21"/>
      <x:c r="E77" s="21"/>
      <x:c r="F77" s="21"/>
      <x:c r="G77" s="21"/>
      <x:c r="H77" s="28"/>
      <x:c r="I77" s="28"/>
      <x:c r="J77" s="28"/>
      <x:c r="K77" s="28"/>
      <x:c r="L77" s="28"/>
      <x:c r="M77" s="28"/>
      <x:c r="N77" s="29" t="str">
        <x:f>IF(A77="","",IF(AND(COUNT(H77:M77)=Start!$B$12,MIN(H77:M77)&gt;=0,MAX(H77:M77)&lt;=Start!$B$11),SUM(H77:M77),""))</x:f>
      </x:c>
      <x:c r="O77" s="21"/>
      <x:c r="P77" s="21"/>
      <x:c r="Q77" s="21"/>
      <x:c r="R77" s="21"/>
      <x:c r="S77" s="21"/>
      <x:c r="T77" s="21"/>
      <x:c r="U77" s="26" t="str">
        <x:f>IF(A77="","",IF(AND(R77="LIVE",G77="Adjudicated",ISNUMBER(N77),B77&lt;&gt;"",C77&lt;&gt;"",D77&lt;&gt;"",E77&lt;&gt;"",F77&lt;&gt;"",O77&lt;&gt;"",P77&lt;&gt;"",Q77&lt;&gt;"",S77&lt;&gt;""),"ELIGIBLE","EXCLUDED"))</x:f>
      </x:c>
    </x:row>
    <x:row r="78" ht="32" customHeight="1">
      <x:c r="A78" s="21"/>
      <x:c r="B78" s="21"/>
      <x:c r="C78" s="21"/>
      <x:c r="D78" s="21"/>
      <x:c r="E78" s="21"/>
      <x:c r="F78" s="21"/>
      <x:c r="G78" s="21"/>
      <x:c r="H78" s="28"/>
      <x:c r="I78" s="28"/>
      <x:c r="J78" s="28"/>
      <x:c r="K78" s="28"/>
      <x:c r="L78" s="28"/>
      <x:c r="M78" s="28"/>
      <x:c r="N78" s="29" t="str">
        <x:f>IF(A78="","",IF(AND(COUNT(H78:M78)=Start!$B$12,MIN(H78:M78)&gt;=0,MAX(H78:M78)&lt;=Start!$B$11),SUM(H78:M78),""))</x:f>
      </x:c>
      <x:c r="O78" s="21"/>
      <x:c r="P78" s="21"/>
      <x:c r="Q78" s="21"/>
      <x:c r="R78" s="21"/>
      <x:c r="S78" s="21"/>
      <x:c r="T78" s="21"/>
      <x:c r="U78" s="26" t="str">
        <x:f>IF(A78="","",IF(AND(R78="LIVE",G78="Adjudicated",ISNUMBER(N78),B78&lt;&gt;"",C78&lt;&gt;"",D78&lt;&gt;"",E78&lt;&gt;"",F78&lt;&gt;"",O78&lt;&gt;"",P78&lt;&gt;"",Q78&lt;&gt;"",S78&lt;&gt;""),"ELIGIBLE","EXCLUDED"))</x:f>
      </x:c>
    </x:row>
    <x:row r="79" ht="32" customHeight="1">
      <x:c r="A79" s="21"/>
      <x:c r="B79" s="21"/>
      <x:c r="C79" s="21"/>
      <x:c r="D79" s="21"/>
      <x:c r="E79" s="21"/>
      <x:c r="F79" s="21"/>
      <x:c r="G79" s="21"/>
      <x:c r="H79" s="28"/>
      <x:c r="I79" s="28"/>
      <x:c r="J79" s="28"/>
      <x:c r="K79" s="28"/>
      <x:c r="L79" s="28"/>
      <x:c r="M79" s="28"/>
      <x:c r="N79" s="29" t="str">
        <x:f>IF(A79="","",IF(AND(COUNT(H79:M79)=Start!$B$12,MIN(H79:M79)&gt;=0,MAX(H79:M79)&lt;=Start!$B$11),SUM(H79:M79),""))</x:f>
      </x:c>
      <x:c r="O79" s="21"/>
      <x:c r="P79" s="21"/>
      <x:c r="Q79" s="21"/>
      <x:c r="R79" s="21"/>
      <x:c r="S79" s="21"/>
      <x:c r="T79" s="21"/>
      <x:c r="U79" s="26" t="str">
        <x:f>IF(A79="","",IF(AND(R79="LIVE",G79="Adjudicated",ISNUMBER(N79),B79&lt;&gt;"",C79&lt;&gt;"",D79&lt;&gt;"",E79&lt;&gt;"",F79&lt;&gt;"",O79&lt;&gt;"",P79&lt;&gt;"",Q79&lt;&gt;"",S79&lt;&gt;""),"ELIGIBLE","EXCLUDED"))</x:f>
      </x:c>
    </x:row>
    <x:row r="80" ht="32" customHeight="1">
      <x:c r="A80" s="21"/>
      <x:c r="B80" s="21"/>
      <x:c r="C80" s="21"/>
      <x:c r="D80" s="21"/>
      <x:c r="E80" s="21"/>
      <x:c r="F80" s="21"/>
      <x:c r="G80" s="21"/>
      <x:c r="H80" s="28"/>
      <x:c r="I80" s="28"/>
      <x:c r="J80" s="28"/>
      <x:c r="K80" s="28"/>
      <x:c r="L80" s="28"/>
      <x:c r="M80" s="28"/>
      <x:c r="N80" s="29" t="str">
        <x:f>IF(A80="","",IF(AND(COUNT(H80:M80)=Start!$B$12,MIN(H80:M80)&gt;=0,MAX(H80:M80)&lt;=Start!$B$11),SUM(H80:M80),""))</x:f>
      </x:c>
      <x:c r="O80" s="21"/>
      <x:c r="P80" s="21"/>
      <x:c r="Q80" s="21"/>
      <x:c r="R80" s="21"/>
      <x:c r="S80" s="21"/>
      <x:c r="T80" s="21"/>
      <x:c r="U80" s="26" t="str">
        <x:f>IF(A80="","",IF(AND(R80="LIVE",G80="Adjudicated",ISNUMBER(N80),B80&lt;&gt;"",C80&lt;&gt;"",D80&lt;&gt;"",E80&lt;&gt;"",F80&lt;&gt;"",O80&lt;&gt;"",P80&lt;&gt;"",Q80&lt;&gt;"",S80&lt;&gt;""),"ELIGIBLE","EXCLUDED"))</x:f>
      </x:c>
    </x:row>
    <x:row r="81" ht="32" customHeight="1">
      <x:c r="A81" s="21"/>
      <x:c r="B81" s="21"/>
      <x:c r="C81" s="21"/>
      <x:c r="D81" s="21"/>
      <x:c r="E81" s="21"/>
      <x:c r="F81" s="21"/>
      <x:c r="G81" s="21"/>
      <x:c r="H81" s="28"/>
      <x:c r="I81" s="28"/>
      <x:c r="J81" s="28"/>
      <x:c r="K81" s="28"/>
      <x:c r="L81" s="28"/>
      <x:c r="M81" s="28"/>
      <x:c r="N81" s="29" t="str">
        <x:f>IF(A81="","",IF(AND(COUNT(H81:M81)=Start!$B$12,MIN(H81:M81)&gt;=0,MAX(H81:M81)&lt;=Start!$B$11),SUM(H81:M81),""))</x:f>
      </x:c>
      <x:c r="O81" s="21"/>
      <x:c r="P81" s="21"/>
      <x:c r="Q81" s="21"/>
      <x:c r="R81" s="21"/>
      <x:c r="S81" s="21"/>
      <x:c r="T81" s="21"/>
      <x:c r="U81" s="26" t="str">
        <x:f>IF(A81="","",IF(AND(R81="LIVE",G81="Adjudicated",ISNUMBER(N81),B81&lt;&gt;"",C81&lt;&gt;"",D81&lt;&gt;"",E81&lt;&gt;"",F81&lt;&gt;"",O81&lt;&gt;"",P81&lt;&gt;"",Q81&lt;&gt;"",S81&lt;&gt;""),"ELIGIBLE","EXCLUDED"))</x:f>
      </x:c>
    </x:row>
    <x:row r="82" ht="32" customHeight="1">
      <x:c r="A82" s="21"/>
      <x:c r="B82" s="21"/>
      <x:c r="C82" s="21"/>
      <x:c r="D82" s="21"/>
      <x:c r="E82" s="21"/>
      <x:c r="F82" s="21"/>
      <x:c r="G82" s="21"/>
      <x:c r="H82" s="28"/>
      <x:c r="I82" s="28"/>
      <x:c r="J82" s="28"/>
      <x:c r="K82" s="28"/>
      <x:c r="L82" s="28"/>
      <x:c r="M82" s="28"/>
      <x:c r="N82" s="29" t="str">
        <x:f>IF(A82="","",IF(AND(COUNT(H82:M82)=Start!$B$12,MIN(H82:M82)&gt;=0,MAX(H82:M82)&lt;=Start!$B$11),SUM(H82:M82),""))</x:f>
      </x:c>
      <x:c r="O82" s="21"/>
      <x:c r="P82" s="21"/>
      <x:c r="Q82" s="21"/>
      <x:c r="R82" s="21"/>
      <x:c r="S82" s="21"/>
      <x:c r="T82" s="21"/>
      <x:c r="U82" s="26" t="str">
        <x:f>IF(A82="","",IF(AND(R82="LIVE",G82="Adjudicated",ISNUMBER(N82),B82&lt;&gt;"",C82&lt;&gt;"",D82&lt;&gt;"",E82&lt;&gt;"",F82&lt;&gt;"",O82&lt;&gt;"",P82&lt;&gt;"",Q82&lt;&gt;"",S82&lt;&gt;""),"ELIGIBLE","EXCLUDED"))</x:f>
      </x:c>
    </x:row>
    <x:row r="83" ht="32" customHeight="1">
      <x:c r="A83" s="21"/>
      <x:c r="B83" s="21"/>
      <x:c r="C83" s="21"/>
      <x:c r="D83" s="21"/>
      <x:c r="E83" s="21"/>
      <x:c r="F83" s="21"/>
      <x:c r="G83" s="21"/>
      <x:c r="H83" s="28"/>
      <x:c r="I83" s="28"/>
      <x:c r="J83" s="28"/>
      <x:c r="K83" s="28"/>
      <x:c r="L83" s="28"/>
      <x:c r="M83" s="28"/>
      <x:c r="N83" s="29" t="str">
        <x:f>IF(A83="","",IF(AND(COUNT(H83:M83)=Start!$B$12,MIN(H83:M83)&gt;=0,MAX(H83:M83)&lt;=Start!$B$11),SUM(H83:M83),""))</x:f>
      </x:c>
      <x:c r="O83" s="21"/>
      <x:c r="P83" s="21"/>
      <x:c r="Q83" s="21"/>
      <x:c r="R83" s="21"/>
      <x:c r="S83" s="21"/>
      <x:c r="T83" s="21"/>
      <x:c r="U83" s="26" t="str">
        <x:f>IF(A83="","",IF(AND(R83="LIVE",G83="Adjudicated",ISNUMBER(N83),B83&lt;&gt;"",C83&lt;&gt;"",D83&lt;&gt;"",E83&lt;&gt;"",F83&lt;&gt;"",O83&lt;&gt;"",P83&lt;&gt;"",Q83&lt;&gt;"",S83&lt;&gt;""),"ELIGIBLE","EXCLUDED"))</x:f>
      </x:c>
    </x:row>
    <x:row r="84" ht="32" customHeight="1">
      <x:c r="A84" s="21"/>
      <x:c r="B84" s="21"/>
      <x:c r="C84" s="21"/>
      <x:c r="D84" s="21"/>
      <x:c r="E84" s="21"/>
      <x:c r="F84" s="21"/>
      <x:c r="G84" s="21"/>
      <x:c r="H84" s="28"/>
      <x:c r="I84" s="28"/>
      <x:c r="J84" s="28"/>
      <x:c r="K84" s="28"/>
      <x:c r="L84" s="28"/>
      <x:c r="M84" s="28"/>
      <x:c r="N84" s="29" t="str">
        <x:f>IF(A84="","",IF(AND(COUNT(H84:M84)=Start!$B$12,MIN(H84:M84)&gt;=0,MAX(H84:M84)&lt;=Start!$B$11),SUM(H84:M84),""))</x:f>
      </x:c>
      <x:c r="O84" s="21"/>
      <x:c r="P84" s="21"/>
      <x:c r="Q84" s="21"/>
      <x:c r="R84" s="21"/>
      <x:c r="S84" s="21"/>
      <x:c r="T84" s="21"/>
      <x:c r="U84" s="26" t="str">
        <x:f>IF(A84="","",IF(AND(R84="LIVE",G84="Adjudicated",ISNUMBER(N84),B84&lt;&gt;"",C84&lt;&gt;"",D84&lt;&gt;"",E84&lt;&gt;"",F84&lt;&gt;"",O84&lt;&gt;"",P84&lt;&gt;"",Q84&lt;&gt;"",S84&lt;&gt;""),"ELIGIBLE","EXCLUDED"))</x:f>
      </x:c>
    </x:row>
    <x:row r="85" ht="32" customHeight="1">
      <x:c r="A85" s="21"/>
      <x:c r="B85" s="21"/>
      <x:c r="C85" s="21"/>
      <x:c r="D85" s="21"/>
      <x:c r="E85" s="21"/>
      <x:c r="F85" s="21"/>
      <x:c r="G85" s="21"/>
      <x:c r="H85" s="28"/>
      <x:c r="I85" s="28"/>
      <x:c r="J85" s="28"/>
      <x:c r="K85" s="28"/>
      <x:c r="L85" s="28"/>
      <x:c r="M85" s="28"/>
      <x:c r="N85" s="29" t="str">
        <x:f>IF(A85="","",IF(AND(COUNT(H85:M85)=Start!$B$12,MIN(H85:M85)&gt;=0,MAX(H85:M85)&lt;=Start!$B$11),SUM(H85:M85),""))</x:f>
      </x:c>
      <x:c r="O85" s="21"/>
      <x:c r="P85" s="21"/>
      <x:c r="Q85" s="21"/>
      <x:c r="R85" s="21"/>
      <x:c r="S85" s="21"/>
      <x:c r="T85" s="21"/>
      <x:c r="U85" s="26" t="str">
        <x:f>IF(A85="","",IF(AND(R85="LIVE",G85="Adjudicated",ISNUMBER(N85),B85&lt;&gt;"",C85&lt;&gt;"",D85&lt;&gt;"",E85&lt;&gt;"",F85&lt;&gt;"",O85&lt;&gt;"",P85&lt;&gt;"",Q85&lt;&gt;"",S85&lt;&gt;""),"ELIGIBLE","EXCLUDED"))</x:f>
      </x:c>
    </x:row>
    <x:row r="86" ht="32" customHeight="1">
      <x:c r="A86" s="21"/>
      <x:c r="B86" s="21"/>
      <x:c r="C86" s="21"/>
      <x:c r="D86" s="21"/>
      <x:c r="E86" s="21"/>
      <x:c r="F86" s="21"/>
      <x:c r="G86" s="21"/>
      <x:c r="H86" s="28"/>
      <x:c r="I86" s="28"/>
      <x:c r="J86" s="28"/>
      <x:c r="K86" s="28"/>
      <x:c r="L86" s="28"/>
      <x:c r="M86" s="28"/>
      <x:c r="N86" s="29" t="str">
        <x:f>IF(A86="","",IF(AND(COUNT(H86:M86)=Start!$B$12,MIN(H86:M86)&gt;=0,MAX(H86:M86)&lt;=Start!$B$11),SUM(H86:M86),""))</x:f>
      </x:c>
      <x:c r="O86" s="21"/>
      <x:c r="P86" s="21"/>
      <x:c r="Q86" s="21"/>
      <x:c r="R86" s="21"/>
      <x:c r="S86" s="21"/>
      <x:c r="T86" s="21"/>
      <x:c r="U86" s="26" t="str">
        <x:f>IF(A86="","",IF(AND(R86="LIVE",G86="Adjudicated",ISNUMBER(N86),B86&lt;&gt;"",C86&lt;&gt;"",D86&lt;&gt;"",E86&lt;&gt;"",F86&lt;&gt;"",O86&lt;&gt;"",P86&lt;&gt;"",Q86&lt;&gt;"",S86&lt;&gt;""),"ELIGIBLE","EXCLUDED"))</x:f>
      </x:c>
    </x:row>
    <x:row r="87" ht="32" customHeight="1">
      <x:c r="A87" s="21"/>
      <x:c r="B87" s="21"/>
      <x:c r="C87" s="21"/>
      <x:c r="D87" s="21"/>
      <x:c r="E87" s="21"/>
      <x:c r="F87" s="21"/>
      <x:c r="G87" s="21"/>
      <x:c r="H87" s="28"/>
      <x:c r="I87" s="28"/>
      <x:c r="J87" s="28"/>
      <x:c r="K87" s="28"/>
      <x:c r="L87" s="28"/>
      <x:c r="M87" s="28"/>
      <x:c r="N87" s="29" t="str">
        <x:f>IF(A87="","",IF(AND(COUNT(H87:M87)=Start!$B$12,MIN(H87:M87)&gt;=0,MAX(H87:M87)&lt;=Start!$B$11),SUM(H87:M87),""))</x:f>
      </x:c>
      <x:c r="O87" s="21"/>
      <x:c r="P87" s="21"/>
      <x:c r="Q87" s="21"/>
      <x:c r="R87" s="21"/>
      <x:c r="S87" s="21"/>
      <x:c r="T87" s="21"/>
      <x:c r="U87" s="26" t="str">
        <x:f>IF(A87="","",IF(AND(R87="LIVE",G87="Adjudicated",ISNUMBER(N87),B87&lt;&gt;"",C87&lt;&gt;"",D87&lt;&gt;"",E87&lt;&gt;"",F87&lt;&gt;"",O87&lt;&gt;"",P87&lt;&gt;"",Q87&lt;&gt;"",S87&lt;&gt;""),"ELIGIBLE","EXCLUDED"))</x:f>
      </x:c>
    </x:row>
    <x:row r="88" ht="32" customHeight="1">
      <x:c r="A88" s="21"/>
      <x:c r="B88" s="21"/>
      <x:c r="C88" s="21"/>
      <x:c r="D88" s="21"/>
      <x:c r="E88" s="21"/>
      <x:c r="F88" s="21"/>
      <x:c r="G88" s="21"/>
      <x:c r="H88" s="28"/>
      <x:c r="I88" s="28"/>
      <x:c r="J88" s="28"/>
      <x:c r="K88" s="28"/>
      <x:c r="L88" s="28"/>
      <x:c r="M88" s="28"/>
      <x:c r="N88" s="29" t="str">
        <x:f>IF(A88="","",IF(AND(COUNT(H88:M88)=Start!$B$12,MIN(H88:M88)&gt;=0,MAX(H88:M88)&lt;=Start!$B$11),SUM(H88:M88),""))</x:f>
      </x:c>
      <x:c r="O88" s="21"/>
      <x:c r="P88" s="21"/>
      <x:c r="Q88" s="21"/>
      <x:c r="R88" s="21"/>
      <x:c r="S88" s="21"/>
      <x:c r="T88" s="21"/>
      <x:c r="U88" s="26" t="str">
        <x:f>IF(A88="","",IF(AND(R88="LIVE",G88="Adjudicated",ISNUMBER(N88),B88&lt;&gt;"",C88&lt;&gt;"",D88&lt;&gt;"",E88&lt;&gt;"",F88&lt;&gt;"",O88&lt;&gt;"",P88&lt;&gt;"",Q88&lt;&gt;"",S88&lt;&gt;""),"ELIGIBLE","EXCLUDED"))</x:f>
      </x:c>
    </x:row>
    <x:row r="89" ht="32" customHeight="1">
      <x:c r="A89" s="21"/>
      <x:c r="B89" s="21"/>
      <x:c r="C89" s="21"/>
      <x:c r="D89" s="21"/>
      <x:c r="E89" s="21"/>
      <x:c r="F89" s="21"/>
      <x:c r="G89" s="21"/>
      <x:c r="H89" s="28"/>
      <x:c r="I89" s="28"/>
      <x:c r="J89" s="28"/>
      <x:c r="K89" s="28"/>
      <x:c r="L89" s="28"/>
      <x:c r="M89" s="28"/>
      <x:c r="N89" s="29" t="str">
        <x:f>IF(A89="","",IF(AND(COUNT(H89:M89)=Start!$B$12,MIN(H89:M89)&gt;=0,MAX(H89:M89)&lt;=Start!$B$11),SUM(H89:M89),""))</x:f>
      </x:c>
      <x:c r="O89" s="21"/>
      <x:c r="P89" s="21"/>
      <x:c r="Q89" s="21"/>
      <x:c r="R89" s="21"/>
      <x:c r="S89" s="21"/>
      <x:c r="T89" s="21"/>
      <x:c r="U89" s="26" t="str">
        <x:f>IF(A89="","",IF(AND(R89="LIVE",G89="Adjudicated",ISNUMBER(N89),B89&lt;&gt;"",C89&lt;&gt;"",D89&lt;&gt;"",E89&lt;&gt;"",F89&lt;&gt;"",O89&lt;&gt;"",P89&lt;&gt;"",Q89&lt;&gt;"",S89&lt;&gt;""),"ELIGIBLE","EXCLUDED"))</x:f>
      </x:c>
    </x:row>
    <x:row r="90" ht="32" customHeight="1">
      <x:c r="A90" s="21"/>
      <x:c r="B90" s="21"/>
      <x:c r="C90" s="21"/>
      <x:c r="D90" s="21"/>
      <x:c r="E90" s="21"/>
      <x:c r="F90" s="21"/>
      <x:c r="G90" s="21"/>
      <x:c r="H90" s="28"/>
      <x:c r="I90" s="28"/>
      <x:c r="J90" s="28"/>
      <x:c r="K90" s="28"/>
      <x:c r="L90" s="28"/>
      <x:c r="M90" s="28"/>
      <x:c r="N90" s="29" t="str">
        <x:f>IF(A90="","",IF(AND(COUNT(H90:M90)=Start!$B$12,MIN(H90:M90)&gt;=0,MAX(H90:M90)&lt;=Start!$B$11),SUM(H90:M90),""))</x:f>
      </x:c>
      <x:c r="O90" s="21"/>
      <x:c r="P90" s="21"/>
      <x:c r="Q90" s="21"/>
      <x:c r="R90" s="21"/>
      <x:c r="S90" s="21"/>
      <x:c r="T90" s="21"/>
      <x:c r="U90" s="26" t="str">
        <x:f>IF(A90="","",IF(AND(R90="LIVE",G90="Adjudicated",ISNUMBER(N90),B90&lt;&gt;"",C90&lt;&gt;"",D90&lt;&gt;"",E90&lt;&gt;"",F90&lt;&gt;"",O90&lt;&gt;"",P90&lt;&gt;"",Q90&lt;&gt;"",S90&lt;&gt;""),"ELIGIBLE","EXCLUDED"))</x:f>
      </x:c>
    </x:row>
    <x:row r="91" ht="32" customHeight="1">
      <x:c r="A91" s="21"/>
      <x:c r="B91" s="21"/>
      <x:c r="C91" s="21"/>
      <x:c r="D91" s="21"/>
      <x:c r="E91" s="21"/>
      <x:c r="F91" s="21"/>
      <x:c r="G91" s="21"/>
      <x:c r="H91" s="28"/>
      <x:c r="I91" s="28"/>
      <x:c r="J91" s="28"/>
      <x:c r="K91" s="28"/>
      <x:c r="L91" s="28"/>
      <x:c r="M91" s="28"/>
      <x:c r="N91" s="29" t="str">
        <x:f>IF(A91="","",IF(AND(COUNT(H91:M91)=Start!$B$12,MIN(H91:M91)&gt;=0,MAX(H91:M91)&lt;=Start!$B$11),SUM(H91:M91),""))</x:f>
      </x:c>
      <x:c r="O91" s="21"/>
      <x:c r="P91" s="21"/>
      <x:c r="Q91" s="21"/>
      <x:c r="R91" s="21"/>
      <x:c r="S91" s="21"/>
      <x:c r="T91" s="21"/>
      <x:c r="U91" s="26" t="str">
        <x:f>IF(A91="","",IF(AND(R91="LIVE",G91="Adjudicated",ISNUMBER(N91),B91&lt;&gt;"",C91&lt;&gt;"",D91&lt;&gt;"",E91&lt;&gt;"",F91&lt;&gt;"",O91&lt;&gt;"",P91&lt;&gt;"",Q91&lt;&gt;"",S91&lt;&gt;""),"ELIGIBLE","EXCLUDED"))</x:f>
      </x:c>
    </x:row>
    <x:row r="92" ht="32" customHeight="1">
      <x:c r="A92" s="21"/>
      <x:c r="B92" s="21"/>
      <x:c r="C92" s="21"/>
      <x:c r="D92" s="21"/>
      <x:c r="E92" s="21"/>
      <x:c r="F92" s="21"/>
      <x:c r="G92" s="21"/>
      <x:c r="H92" s="28"/>
      <x:c r="I92" s="28"/>
      <x:c r="J92" s="28"/>
      <x:c r="K92" s="28"/>
      <x:c r="L92" s="28"/>
      <x:c r="M92" s="28"/>
      <x:c r="N92" s="29" t="str">
        <x:f>IF(A92="","",IF(AND(COUNT(H92:M92)=Start!$B$12,MIN(H92:M92)&gt;=0,MAX(H92:M92)&lt;=Start!$B$11),SUM(H92:M92),""))</x:f>
      </x:c>
      <x:c r="O92" s="21"/>
      <x:c r="P92" s="21"/>
      <x:c r="Q92" s="21"/>
      <x:c r="R92" s="21"/>
      <x:c r="S92" s="21"/>
      <x:c r="T92" s="21"/>
      <x:c r="U92" s="26" t="str">
        <x:f>IF(A92="","",IF(AND(R92="LIVE",G92="Adjudicated",ISNUMBER(N92),B92&lt;&gt;"",C92&lt;&gt;"",D92&lt;&gt;"",E92&lt;&gt;"",F92&lt;&gt;"",O92&lt;&gt;"",P92&lt;&gt;"",Q92&lt;&gt;"",S92&lt;&gt;""),"ELIGIBLE","EXCLUDED"))</x:f>
      </x:c>
    </x:row>
    <x:row r="93" ht="32" customHeight="1">
      <x:c r="A93" s="21"/>
      <x:c r="B93" s="21"/>
      <x:c r="C93" s="21"/>
      <x:c r="D93" s="21"/>
      <x:c r="E93" s="21"/>
      <x:c r="F93" s="21"/>
      <x:c r="G93" s="21"/>
      <x:c r="H93" s="28"/>
      <x:c r="I93" s="28"/>
      <x:c r="J93" s="28"/>
      <x:c r="K93" s="28"/>
      <x:c r="L93" s="28"/>
      <x:c r="M93" s="28"/>
      <x:c r="N93" s="29" t="str">
        <x:f>IF(A93="","",IF(AND(COUNT(H93:M93)=Start!$B$12,MIN(H93:M93)&gt;=0,MAX(H93:M93)&lt;=Start!$B$11),SUM(H93:M93),""))</x:f>
      </x:c>
      <x:c r="O93" s="21"/>
      <x:c r="P93" s="21"/>
      <x:c r="Q93" s="21"/>
      <x:c r="R93" s="21"/>
      <x:c r="S93" s="21"/>
      <x:c r="T93" s="21"/>
      <x:c r="U93" s="26" t="str">
        <x:f>IF(A93="","",IF(AND(R93="LIVE",G93="Adjudicated",ISNUMBER(N93),B93&lt;&gt;"",C93&lt;&gt;"",D93&lt;&gt;"",E93&lt;&gt;"",F93&lt;&gt;"",O93&lt;&gt;"",P93&lt;&gt;"",Q93&lt;&gt;"",S93&lt;&gt;""),"ELIGIBLE","EXCLUDED"))</x:f>
      </x:c>
    </x:row>
    <x:row r="94" ht="32" customHeight="1">
      <x:c r="A94" s="21"/>
      <x:c r="B94" s="21"/>
      <x:c r="C94" s="21"/>
      <x:c r="D94" s="21"/>
      <x:c r="E94" s="21"/>
      <x:c r="F94" s="21"/>
      <x:c r="G94" s="21"/>
      <x:c r="H94" s="28"/>
      <x:c r="I94" s="28"/>
      <x:c r="J94" s="28"/>
      <x:c r="K94" s="28"/>
      <x:c r="L94" s="28"/>
      <x:c r="M94" s="28"/>
      <x:c r="N94" s="29" t="str">
        <x:f>IF(A94="","",IF(AND(COUNT(H94:M94)=Start!$B$12,MIN(H94:M94)&gt;=0,MAX(H94:M94)&lt;=Start!$B$11),SUM(H94:M94),""))</x:f>
      </x:c>
      <x:c r="O94" s="21"/>
      <x:c r="P94" s="21"/>
      <x:c r="Q94" s="21"/>
      <x:c r="R94" s="21"/>
      <x:c r="S94" s="21"/>
      <x:c r="T94" s="21"/>
      <x:c r="U94" s="26" t="str">
        <x:f>IF(A94="","",IF(AND(R94="LIVE",G94="Adjudicated",ISNUMBER(N94),B94&lt;&gt;"",C94&lt;&gt;"",D94&lt;&gt;"",E94&lt;&gt;"",F94&lt;&gt;"",O94&lt;&gt;"",P94&lt;&gt;"",Q94&lt;&gt;"",S94&lt;&gt;""),"ELIGIBLE","EXCLUDED"))</x:f>
      </x:c>
    </x:row>
    <x:row r="95" ht="32" customHeight="1">
      <x:c r="A95" s="21"/>
      <x:c r="B95" s="21"/>
      <x:c r="C95" s="21"/>
      <x:c r="D95" s="21"/>
      <x:c r="E95" s="21"/>
      <x:c r="F95" s="21"/>
      <x:c r="G95" s="21"/>
      <x:c r="H95" s="28"/>
      <x:c r="I95" s="28"/>
      <x:c r="J95" s="28"/>
      <x:c r="K95" s="28"/>
      <x:c r="L95" s="28"/>
      <x:c r="M95" s="28"/>
      <x:c r="N95" s="29" t="str">
        <x:f>IF(A95="","",IF(AND(COUNT(H95:M95)=Start!$B$12,MIN(H95:M95)&gt;=0,MAX(H95:M95)&lt;=Start!$B$11),SUM(H95:M95),""))</x:f>
      </x:c>
      <x:c r="O95" s="21"/>
      <x:c r="P95" s="21"/>
      <x:c r="Q95" s="21"/>
      <x:c r="R95" s="21"/>
      <x:c r="S95" s="21"/>
      <x:c r="T95" s="21"/>
      <x:c r="U95" s="26" t="str">
        <x:f>IF(A95="","",IF(AND(R95="LIVE",G95="Adjudicated",ISNUMBER(N95),B95&lt;&gt;"",C95&lt;&gt;"",D95&lt;&gt;"",E95&lt;&gt;"",F95&lt;&gt;"",O95&lt;&gt;"",P95&lt;&gt;"",Q95&lt;&gt;"",S95&lt;&gt;""),"ELIGIBLE","EXCLUDED"))</x:f>
      </x:c>
    </x:row>
    <x:row r="96" ht="32" customHeight="1">
      <x:c r="A96" s="21"/>
      <x:c r="B96" s="21"/>
      <x:c r="C96" s="21"/>
      <x:c r="D96" s="21"/>
      <x:c r="E96" s="21"/>
      <x:c r="F96" s="21"/>
      <x:c r="G96" s="21"/>
      <x:c r="H96" s="28"/>
      <x:c r="I96" s="28"/>
      <x:c r="J96" s="28"/>
      <x:c r="K96" s="28"/>
      <x:c r="L96" s="28"/>
      <x:c r="M96" s="28"/>
      <x:c r="N96" s="29" t="str">
        <x:f>IF(A96="","",IF(AND(COUNT(H96:M96)=Start!$B$12,MIN(H96:M96)&gt;=0,MAX(H96:M96)&lt;=Start!$B$11),SUM(H96:M96),""))</x:f>
      </x:c>
      <x:c r="O96" s="21"/>
      <x:c r="P96" s="21"/>
      <x:c r="Q96" s="21"/>
      <x:c r="R96" s="21"/>
      <x:c r="S96" s="21"/>
      <x:c r="T96" s="21"/>
      <x:c r="U96" s="26" t="str">
        <x:f>IF(A96="","",IF(AND(R96="LIVE",G96="Adjudicated",ISNUMBER(N96),B96&lt;&gt;"",C96&lt;&gt;"",D96&lt;&gt;"",E96&lt;&gt;"",F96&lt;&gt;"",O96&lt;&gt;"",P96&lt;&gt;"",Q96&lt;&gt;"",S96&lt;&gt;""),"ELIGIBLE","EXCLUDED"))</x:f>
      </x:c>
    </x:row>
    <x:row r="97" ht="32" customHeight="1">
      <x:c r="A97" s="21"/>
      <x:c r="B97" s="21"/>
      <x:c r="C97" s="21"/>
      <x:c r="D97" s="21"/>
      <x:c r="E97" s="21"/>
      <x:c r="F97" s="21"/>
      <x:c r="G97" s="21"/>
      <x:c r="H97" s="28"/>
      <x:c r="I97" s="28"/>
      <x:c r="J97" s="28"/>
      <x:c r="K97" s="28"/>
      <x:c r="L97" s="28"/>
      <x:c r="M97" s="28"/>
      <x:c r="N97" s="29" t="str">
        <x:f>IF(A97="","",IF(AND(COUNT(H97:M97)=Start!$B$12,MIN(H97:M97)&gt;=0,MAX(H97:M97)&lt;=Start!$B$11),SUM(H97:M97),""))</x:f>
      </x:c>
      <x:c r="O97" s="21"/>
      <x:c r="P97" s="21"/>
      <x:c r="Q97" s="21"/>
      <x:c r="R97" s="21"/>
      <x:c r="S97" s="21"/>
      <x:c r="T97" s="21"/>
      <x:c r="U97" s="26" t="str">
        <x:f>IF(A97="","",IF(AND(R97="LIVE",G97="Adjudicated",ISNUMBER(N97),B97&lt;&gt;"",C97&lt;&gt;"",D97&lt;&gt;"",E97&lt;&gt;"",F97&lt;&gt;"",O97&lt;&gt;"",P97&lt;&gt;"",Q97&lt;&gt;"",S97&lt;&gt;""),"ELIGIBLE","EXCLUDED"))</x:f>
      </x:c>
    </x:row>
    <x:row r="98" ht="32" customHeight="1">
      <x:c r="A98" s="21"/>
      <x:c r="B98" s="21"/>
      <x:c r="C98" s="21"/>
      <x:c r="D98" s="21"/>
      <x:c r="E98" s="21"/>
      <x:c r="F98" s="21"/>
      <x:c r="G98" s="21"/>
      <x:c r="H98" s="28"/>
      <x:c r="I98" s="28"/>
      <x:c r="J98" s="28"/>
      <x:c r="K98" s="28"/>
      <x:c r="L98" s="28"/>
      <x:c r="M98" s="28"/>
      <x:c r="N98" s="29" t="str">
        <x:f>IF(A98="","",IF(AND(COUNT(H98:M98)=Start!$B$12,MIN(H98:M98)&gt;=0,MAX(H98:M98)&lt;=Start!$B$11),SUM(H98:M98),""))</x:f>
      </x:c>
      <x:c r="O98" s="21"/>
      <x:c r="P98" s="21"/>
      <x:c r="Q98" s="21"/>
      <x:c r="R98" s="21"/>
      <x:c r="S98" s="21"/>
      <x:c r="T98" s="21"/>
      <x:c r="U98" s="26" t="str">
        <x:f>IF(A98="","",IF(AND(R98="LIVE",G98="Adjudicated",ISNUMBER(N98),B98&lt;&gt;"",C98&lt;&gt;"",D98&lt;&gt;"",E98&lt;&gt;"",F98&lt;&gt;"",O98&lt;&gt;"",P98&lt;&gt;"",Q98&lt;&gt;"",S98&lt;&gt;""),"ELIGIBLE","EXCLUDED"))</x:f>
      </x:c>
    </x:row>
    <x:row r="99" ht="32" customHeight="1">
      <x:c r="A99" s="21"/>
      <x:c r="B99" s="21"/>
      <x:c r="C99" s="21"/>
      <x:c r="D99" s="21"/>
      <x:c r="E99" s="21"/>
      <x:c r="F99" s="21"/>
      <x:c r="G99" s="21"/>
      <x:c r="H99" s="28"/>
      <x:c r="I99" s="28"/>
      <x:c r="J99" s="28"/>
      <x:c r="K99" s="28"/>
      <x:c r="L99" s="28"/>
      <x:c r="M99" s="28"/>
      <x:c r="N99" s="29" t="str">
        <x:f>IF(A99="","",IF(AND(COUNT(H99:M99)=Start!$B$12,MIN(H99:M99)&gt;=0,MAX(H99:M99)&lt;=Start!$B$11),SUM(H99:M99),""))</x:f>
      </x:c>
      <x:c r="O99" s="21"/>
      <x:c r="P99" s="21"/>
      <x:c r="Q99" s="21"/>
      <x:c r="R99" s="21"/>
      <x:c r="S99" s="21"/>
      <x:c r="T99" s="21"/>
      <x:c r="U99" s="26" t="str">
        <x:f>IF(A99="","",IF(AND(R99="LIVE",G99="Adjudicated",ISNUMBER(N99),B99&lt;&gt;"",C99&lt;&gt;"",D99&lt;&gt;"",E99&lt;&gt;"",F99&lt;&gt;"",O99&lt;&gt;"",P99&lt;&gt;"",Q99&lt;&gt;"",S99&lt;&gt;""),"ELIGIBLE","EXCLUDED"))</x:f>
      </x:c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8"/>
      <x:c r="I100" s="28"/>
      <x:c r="J100" s="28"/>
      <x:c r="K100" s="28"/>
      <x:c r="L100" s="28"/>
      <x:c r="M100" s="28"/>
      <x:c r="N100" s="29" t="str">
        <x:f>IF(A100="","",IF(AND(COUNT(H100:M100)=Start!$B$12,MIN(H100:M100)&gt;=0,MAX(H100:M100)&lt;=Start!$B$11),SUM(H100:M100),""))</x:f>
      </x:c>
      <x:c r="O100" s="21"/>
      <x:c r="P100" s="21"/>
      <x:c r="Q100" s="21"/>
      <x:c r="R100" s="21"/>
      <x:c r="S100" s="21"/>
      <x:c r="T100" s="21"/>
      <x:c r="U100" s="26" t="str">
        <x:f>IF(A100="","",IF(AND(R100="LIVE",G100="Adjudicated",ISNUMBER(N100),B100&lt;&gt;"",C100&lt;&gt;"",D100&lt;&gt;"",E100&lt;&gt;"",F100&lt;&gt;"",O100&lt;&gt;"",P100&lt;&gt;"",Q100&lt;&gt;"",S100&lt;&gt;""),"ELIGIBLE","EXCLUDED"))</x:f>
      </x:c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8"/>
      <x:c r="I101" s="28"/>
      <x:c r="J101" s="28"/>
      <x:c r="K101" s="28"/>
      <x:c r="L101" s="28"/>
      <x:c r="M101" s="28"/>
      <x:c r="N101" s="29" t="str">
        <x:f>IF(A101="","",IF(AND(COUNT(H101:M101)=Start!$B$12,MIN(H101:M101)&gt;=0,MAX(H101:M101)&lt;=Start!$B$11),SUM(H101:M101),""))</x:f>
      </x:c>
      <x:c r="O101" s="21"/>
      <x:c r="P101" s="21"/>
      <x:c r="Q101" s="21"/>
      <x:c r="R101" s="21"/>
      <x:c r="S101" s="21"/>
      <x:c r="T101" s="21"/>
      <x:c r="U101" s="26" t="str">
        <x:f>IF(A101="","",IF(AND(R101="LIVE",G101="Adjudicated",ISNUMBER(N101),B101&lt;&gt;"",C101&lt;&gt;"",D101&lt;&gt;"",E101&lt;&gt;"",F101&lt;&gt;"",O101&lt;&gt;"",P101&lt;&gt;"",Q101&lt;&gt;"",S101&lt;&gt;""),"ELIGIBLE","EXCLUDED"))</x:f>
      </x:c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8"/>
      <x:c r="I102" s="28"/>
      <x:c r="J102" s="28"/>
      <x:c r="K102" s="28"/>
      <x:c r="L102" s="28"/>
      <x:c r="M102" s="28"/>
      <x:c r="N102" s="29" t="str">
        <x:f>IF(A102="","",IF(AND(COUNT(H102:M102)=Start!$B$12,MIN(H102:M102)&gt;=0,MAX(H102:M102)&lt;=Start!$B$11),SUM(H102:M102),""))</x:f>
      </x:c>
      <x:c r="O102" s="21"/>
      <x:c r="P102" s="21"/>
      <x:c r="Q102" s="21"/>
      <x:c r="R102" s="21"/>
      <x:c r="S102" s="21"/>
      <x:c r="T102" s="21"/>
      <x:c r="U102" s="26" t="str">
        <x:f>IF(A102="","",IF(AND(R102="LIVE",G102="Adjudicated",ISNUMBER(N102),B102&lt;&gt;"",C102&lt;&gt;"",D102&lt;&gt;"",E102&lt;&gt;"",F102&lt;&gt;"",O102&lt;&gt;"",P102&lt;&gt;"",Q102&lt;&gt;"",S102&lt;&gt;""),"ELIGIBLE","EXCLUDED"))</x:f>
      </x:c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8"/>
      <x:c r="I103" s="28"/>
      <x:c r="J103" s="28"/>
      <x:c r="K103" s="28"/>
      <x:c r="L103" s="28"/>
      <x:c r="M103" s="28"/>
      <x:c r="N103" s="29" t="str">
        <x:f>IF(A103="","",IF(AND(COUNT(H103:M103)=Start!$B$12,MIN(H103:M103)&gt;=0,MAX(H103:M103)&lt;=Start!$B$11),SUM(H103:M103),""))</x:f>
      </x:c>
      <x:c r="O103" s="21"/>
      <x:c r="P103" s="21"/>
      <x:c r="Q103" s="21"/>
      <x:c r="R103" s="21"/>
      <x:c r="S103" s="21"/>
      <x:c r="T103" s="21"/>
      <x:c r="U103" s="26" t="str">
        <x:f>IF(A103="","",IF(AND(R103="LIVE",G103="Adjudicated",ISNUMBER(N103),B103&lt;&gt;"",C103&lt;&gt;"",D103&lt;&gt;"",E103&lt;&gt;"",F103&lt;&gt;"",O103&lt;&gt;"",P103&lt;&gt;"",Q103&lt;&gt;"",S103&lt;&gt;""),"ELIGIBLE","EXCLUDED"))</x:f>
      </x:c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8"/>
      <x:c r="I104" s="28"/>
      <x:c r="J104" s="28"/>
      <x:c r="K104" s="28"/>
      <x:c r="L104" s="28"/>
      <x:c r="M104" s="28"/>
      <x:c r="N104" s="29" t="str">
        <x:f>IF(A104="","",IF(AND(COUNT(H104:M104)=Start!$B$12,MIN(H104:M104)&gt;=0,MAX(H104:M104)&lt;=Start!$B$11),SUM(H104:M104),""))</x:f>
      </x:c>
      <x:c r="O104" s="21"/>
      <x:c r="P104" s="21"/>
      <x:c r="Q104" s="21"/>
      <x:c r="R104" s="21"/>
      <x:c r="S104" s="21"/>
      <x:c r="T104" s="21"/>
      <x:c r="U104" s="26" t="str">
        <x:f>IF(A104="","",IF(AND(R104="LIVE",G104="Adjudicated",ISNUMBER(N104),B104&lt;&gt;"",C104&lt;&gt;"",D104&lt;&gt;"",E104&lt;&gt;"",F104&lt;&gt;"",O104&lt;&gt;"",P104&lt;&gt;"",Q104&lt;&gt;"",S104&lt;&gt;""),"ELIGIBLE","EXCLUDED"))</x:f>
      </x:c>
    </x:row>
    <x:row r="105" ht="32" customHeight="1">
      <x:c r="A105" s="21"/>
      <x:c r="B105" s="21"/>
      <x:c r="C105" s="21"/>
      <x:c r="D105" s="21"/>
      <x:c r="E105" s="21"/>
      <x:c r="F105" s="21"/>
      <x:c r="G105" s="21"/>
      <x:c r="H105" s="28"/>
      <x:c r="I105" s="28"/>
      <x:c r="J105" s="28"/>
      <x:c r="K105" s="28"/>
      <x:c r="L105" s="28"/>
      <x:c r="M105" s="28"/>
      <x:c r="N105" s="29" t="str">
        <x:f>IF(A105="","",IF(AND(COUNT(H105:M105)=Start!$B$12,MIN(H105:M105)&gt;=0,MAX(H105:M105)&lt;=Start!$B$11),SUM(H105:M105),""))</x:f>
      </x:c>
      <x:c r="O105" s="21"/>
      <x:c r="P105" s="21"/>
      <x:c r="Q105" s="21"/>
      <x:c r="R105" s="21"/>
      <x:c r="S105" s="21"/>
      <x:c r="T105" s="21"/>
      <x:c r="U105" s="26" t="str">
        <x:f>IF(A105="","",IF(AND(R105="LIVE",G105="Adjudicated",ISNUMBER(N105),B105&lt;&gt;"",C105&lt;&gt;"",D105&lt;&gt;"",E105&lt;&gt;"",F105&lt;&gt;"",O105&lt;&gt;"",P105&lt;&gt;"",Q105&lt;&gt;"",S105&lt;&gt;""),"ELIGIBLE","EXCLUDED"))</x:f>
      </x:c>
    </x:row>
    <x:row r="106" ht="32" customHeight="1">
      <x:c r="A106" s="21"/>
      <x:c r="B106" s="21"/>
      <x:c r="C106" s="21"/>
      <x:c r="D106" s="21"/>
      <x:c r="E106" s="21"/>
      <x:c r="F106" s="21"/>
      <x:c r="G106" s="21"/>
      <x:c r="H106" s="28"/>
      <x:c r="I106" s="28"/>
      <x:c r="J106" s="28"/>
      <x:c r="K106" s="28"/>
      <x:c r="L106" s="28"/>
      <x:c r="M106" s="28"/>
      <x:c r="N106" s="29" t="str">
        <x:f>IF(A106="","",IF(AND(COUNT(H106:M106)=Start!$B$12,MIN(H106:M106)&gt;=0,MAX(H106:M106)&lt;=Start!$B$11),SUM(H106:M106),""))</x:f>
      </x:c>
      <x:c r="O106" s="21"/>
      <x:c r="P106" s="21"/>
      <x:c r="Q106" s="21"/>
      <x:c r="R106" s="21"/>
      <x:c r="S106" s="21"/>
      <x:c r="T106" s="21"/>
      <x:c r="U106" s="26" t="str">
        <x:f>IF(A106="","",IF(AND(R106="LIVE",G106="Adjudicated",ISNUMBER(N106),B106&lt;&gt;"",C106&lt;&gt;"",D106&lt;&gt;"",E106&lt;&gt;"",F106&lt;&gt;"",O106&lt;&gt;"",P106&lt;&gt;"",Q106&lt;&gt;"",S106&lt;&gt;""),"ELIGIBLE","EXCLUDED"))</x:f>
      </x:c>
    </x:row>
    <x:row r="107" ht="32" customHeight="1">
      <x:c r="A107" s="21"/>
      <x:c r="B107" s="21"/>
      <x:c r="C107" s="21"/>
      <x:c r="D107" s="21"/>
      <x:c r="E107" s="21"/>
      <x:c r="F107" s="21"/>
      <x:c r="G107" s="21"/>
      <x:c r="H107" s="28"/>
      <x:c r="I107" s="28"/>
      <x:c r="J107" s="28"/>
      <x:c r="K107" s="28"/>
      <x:c r="L107" s="28"/>
      <x:c r="M107" s="28"/>
      <x:c r="N107" s="29" t="str">
        <x:f>IF(A107="","",IF(AND(COUNT(H107:M107)=Start!$B$12,MIN(H107:M107)&gt;=0,MAX(H107:M107)&lt;=Start!$B$11),SUM(H107:M107),""))</x:f>
      </x:c>
      <x:c r="O107" s="21"/>
      <x:c r="P107" s="21"/>
      <x:c r="Q107" s="21"/>
      <x:c r="R107" s="21"/>
      <x:c r="S107" s="21"/>
      <x:c r="T107" s="21"/>
      <x:c r="U107" s="26" t="str">
        <x:f>IF(A107="","",IF(AND(R107="LIVE",G107="Adjudicated",ISNUMBER(N107),B107&lt;&gt;"",C107&lt;&gt;"",D107&lt;&gt;"",E107&lt;&gt;"",F107&lt;&gt;"",O107&lt;&gt;"",P107&lt;&gt;"",Q107&lt;&gt;"",S107&lt;&gt;""),"ELIGIBLE","EXCLUDED"))</x:f>
      </x:c>
    </x:row>
    <x:row r="108" ht="32" customHeight="1">
      <x:c r="A108" s="21"/>
      <x:c r="B108" s="21"/>
      <x:c r="C108" s="21"/>
      <x:c r="D108" s="21"/>
      <x:c r="E108" s="21"/>
      <x:c r="F108" s="21"/>
      <x:c r="G108" s="21"/>
      <x:c r="H108" s="28"/>
      <x:c r="I108" s="28"/>
      <x:c r="J108" s="28"/>
      <x:c r="K108" s="28"/>
      <x:c r="L108" s="28"/>
      <x:c r="M108" s="28"/>
      <x:c r="N108" s="29" t="str">
        <x:f>IF(A108="","",IF(AND(COUNT(H108:M108)=Start!$B$12,MIN(H108:M108)&gt;=0,MAX(H108:M108)&lt;=Start!$B$11),SUM(H108:M108),""))</x:f>
      </x:c>
      <x:c r="O108" s="21"/>
      <x:c r="P108" s="21"/>
      <x:c r="Q108" s="21"/>
      <x:c r="R108" s="21"/>
      <x:c r="S108" s="21"/>
      <x:c r="T108" s="21"/>
      <x:c r="U108" s="26" t="str">
        <x:f>IF(A108="","",IF(AND(R108="LIVE",G108="Adjudicated",ISNUMBER(N108),B108&lt;&gt;"",C108&lt;&gt;"",D108&lt;&gt;"",E108&lt;&gt;"",F108&lt;&gt;"",O108&lt;&gt;"",P108&lt;&gt;"",Q108&lt;&gt;"",S108&lt;&gt;""),"ELIGIBLE","EXCLUDED"))</x:f>
      </x:c>
    </x:row>
    <x:row r="109" ht="32" customHeight="1">
      <x:c r="A109" s="21"/>
      <x:c r="B109" s="21"/>
      <x:c r="C109" s="21"/>
      <x:c r="D109" s="21"/>
      <x:c r="E109" s="21"/>
      <x:c r="F109" s="21"/>
      <x:c r="G109" s="21"/>
      <x:c r="H109" s="28"/>
      <x:c r="I109" s="28"/>
      <x:c r="J109" s="28"/>
      <x:c r="K109" s="28"/>
      <x:c r="L109" s="28"/>
      <x:c r="M109" s="28"/>
      <x:c r="N109" s="29" t="str">
        <x:f>IF(A109="","",IF(AND(COUNT(H109:M109)=Start!$B$12,MIN(H109:M109)&gt;=0,MAX(H109:M109)&lt;=Start!$B$11),SUM(H109:M109),""))</x:f>
      </x:c>
      <x:c r="O109" s="21"/>
      <x:c r="P109" s="21"/>
      <x:c r="Q109" s="21"/>
      <x:c r="R109" s="21"/>
      <x:c r="S109" s="21"/>
      <x:c r="T109" s="21"/>
      <x:c r="U109" s="26" t="str">
        <x:f>IF(A109="","",IF(AND(R109="LIVE",G109="Adjudicated",ISNUMBER(N109),B109&lt;&gt;"",C109&lt;&gt;"",D109&lt;&gt;"",E109&lt;&gt;"",F109&lt;&gt;"",O109&lt;&gt;"",P109&lt;&gt;"",Q109&lt;&gt;"",S109&lt;&gt;""),"ELIGIBLE","EXCLUDED"))</x:f>
      </x:c>
    </x:row>
    <x:row r="110" ht="32" customHeight="1">
      <x:c r="A110" s="21"/>
      <x:c r="B110" s="21"/>
      <x:c r="C110" s="21"/>
      <x:c r="D110" s="21"/>
      <x:c r="E110" s="21"/>
      <x:c r="F110" s="21"/>
      <x:c r="G110" s="21"/>
      <x:c r="H110" s="28"/>
      <x:c r="I110" s="28"/>
      <x:c r="J110" s="28"/>
      <x:c r="K110" s="28"/>
      <x:c r="L110" s="28"/>
      <x:c r="M110" s="28"/>
      <x:c r="N110" s="29" t="str">
        <x:f>IF(A110="","",IF(AND(COUNT(H110:M110)=Start!$B$12,MIN(H110:M110)&gt;=0,MAX(H110:M110)&lt;=Start!$B$11),SUM(H110:M110),""))</x:f>
      </x:c>
      <x:c r="O110" s="21"/>
      <x:c r="P110" s="21"/>
      <x:c r="Q110" s="21"/>
      <x:c r="R110" s="21"/>
      <x:c r="S110" s="21"/>
      <x:c r="T110" s="21"/>
      <x:c r="U110" s="26" t="str">
        <x:f>IF(A110="","",IF(AND(R110="LIVE",G110="Adjudicated",ISNUMBER(N110),B110&lt;&gt;"",C110&lt;&gt;"",D110&lt;&gt;"",E110&lt;&gt;"",F110&lt;&gt;"",O110&lt;&gt;"",P110&lt;&gt;"",Q110&lt;&gt;"",S110&lt;&gt;""),"ELIGIBLE","EXCLUDED"))</x:f>
      </x:c>
    </x:row>
    <x:row r="111" ht="32" customHeight="1">
      <x:c r="A111" s="21"/>
      <x:c r="B111" s="21"/>
      <x:c r="C111" s="21"/>
      <x:c r="D111" s="21"/>
      <x:c r="E111" s="21"/>
      <x:c r="F111" s="21"/>
      <x:c r="G111" s="21"/>
      <x:c r="H111" s="28"/>
      <x:c r="I111" s="28"/>
      <x:c r="J111" s="28"/>
      <x:c r="K111" s="28"/>
      <x:c r="L111" s="28"/>
      <x:c r="M111" s="28"/>
      <x:c r="N111" s="29" t="str">
        <x:f>IF(A111="","",IF(AND(COUNT(H111:M111)=Start!$B$12,MIN(H111:M111)&gt;=0,MAX(H111:M111)&lt;=Start!$B$11),SUM(H111:M111),""))</x:f>
      </x:c>
      <x:c r="O111" s="21"/>
      <x:c r="P111" s="21"/>
      <x:c r="Q111" s="21"/>
      <x:c r="R111" s="21"/>
      <x:c r="S111" s="21"/>
      <x:c r="T111" s="21"/>
      <x:c r="U111" s="26" t="str">
        <x:f>IF(A111="","",IF(AND(R111="LIVE",G111="Adjudicated",ISNUMBER(N111),B111&lt;&gt;"",C111&lt;&gt;"",D111&lt;&gt;"",E111&lt;&gt;"",F111&lt;&gt;"",O111&lt;&gt;"",P111&lt;&gt;"",Q111&lt;&gt;"",S111&lt;&gt;""),"ELIGIBLE","EXCLUDED"))</x:f>
      </x:c>
    </x:row>
    <x:row r="112" ht="32" customHeight="1">
      <x:c r="A112" s="21"/>
      <x:c r="B112" s="21"/>
      <x:c r="C112" s="21"/>
      <x:c r="D112" s="21"/>
      <x:c r="E112" s="21"/>
      <x:c r="F112" s="21"/>
      <x:c r="G112" s="21"/>
      <x:c r="H112" s="28"/>
      <x:c r="I112" s="28"/>
      <x:c r="J112" s="28"/>
      <x:c r="K112" s="28"/>
      <x:c r="L112" s="28"/>
      <x:c r="M112" s="28"/>
      <x:c r="N112" s="29" t="str">
        <x:f>IF(A112="","",IF(AND(COUNT(H112:M112)=Start!$B$12,MIN(H112:M112)&gt;=0,MAX(H112:M112)&lt;=Start!$B$11),SUM(H112:M112),""))</x:f>
      </x:c>
      <x:c r="O112" s="21"/>
      <x:c r="P112" s="21"/>
      <x:c r="Q112" s="21"/>
      <x:c r="R112" s="21"/>
      <x:c r="S112" s="21"/>
      <x:c r="T112" s="21"/>
      <x:c r="U112" s="26" t="str">
        <x:f>IF(A112="","",IF(AND(R112="LIVE",G112="Adjudicated",ISNUMBER(N112),B112&lt;&gt;"",C112&lt;&gt;"",D112&lt;&gt;"",E112&lt;&gt;"",F112&lt;&gt;"",O112&lt;&gt;"",P112&lt;&gt;"",Q112&lt;&gt;"",S112&lt;&gt;""),"ELIGIBLE","EXCLUDED"))</x:f>
      </x:c>
    </x:row>
    <x:row r="113" ht="32" customHeight="1">
      <x:c r="A113" s="21"/>
      <x:c r="B113" s="21"/>
      <x:c r="C113" s="21"/>
      <x:c r="D113" s="21"/>
      <x:c r="E113" s="21"/>
      <x:c r="F113" s="21"/>
      <x:c r="G113" s="21"/>
      <x:c r="H113" s="28"/>
      <x:c r="I113" s="28"/>
      <x:c r="J113" s="28"/>
      <x:c r="K113" s="28"/>
      <x:c r="L113" s="28"/>
      <x:c r="M113" s="28"/>
      <x:c r="N113" s="29" t="str">
        <x:f>IF(A113="","",IF(AND(COUNT(H113:M113)=Start!$B$12,MIN(H113:M113)&gt;=0,MAX(H113:M113)&lt;=Start!$B$11),SUM(H113:M113),""))</x:f>
      </x:c>
      <x:c r="O113" s="21"/>
      <x:c r="P113" s="21"/>
      <x:c r="Q113" s="21"/>
      <x:c r="R113" s="21"/>
      <x:c r="S113" s="21"/>
      <x:c r="T113" s="21"/>
      <x:c r="U113" s="26" t="str">
        <x:f>IF(A113="","",IF(AND(R113="LIVE",G113="Adjudicated",ISNUMBER(N113),B113&lt;&gt;"",C113&lt;&gt;"",D113&lt;&gt;"",E113&lt;&gt;"",F113&lt;&gt;"",O113&lt;&gt;"",P113&lt;&gt;"",Q113&lt;&gt;"",S113&lt;&gt;""),"ELIGIBLE","EXCLUDED"))</x:f>
      </x:c>
    </x:row>
    <x:row r="114" ht="32" customHeight="1">
      <x:c r="A114" s="21"/>
      <x:c r="B114" s="21"/>
      <x:c r="C114" s="21"/>
      <x:c r="D114" s="21"/>
      <x:c r="E114" s="21"/>
      <x:c r="F114" s="21"/>
      <x:c r="G114" s="21"/>
      <x:c r="H114" s="28"/>
      <x:c r="I114" s="28"/>
      <x:c r="J114" s="28"/>
      <x:c r="K114" s="28"/>
      <x:c r="L114" s="28"/>
      <x:c r="M114" s="28"/>
      <x:c r="N114" s="29" t="str">
        <x:f>IF(A114="","",IF(AND(COUNT(H114:M114)=Start!$B$12,MIN(H114:M114)&gt;=0,MAX(H114:M114)&lt;=Start!$B$11),SUM(H114:M114),""))</x:f>
      </x:c>
      <x:c r="O114" s="21"/>
      <x:c r="P114" s="21"/>
      <x:c r="Q114" s="21"/>
      <x:c r="R114" s="21"/>
      <x:c r="S114" s="21"/>
      <x:c r="T114" s="21"/>
      <x:c r="U114" s="26" t="str">
        <x:f>IF(A114="","",IF(AND(R114="LIVE",G114="Adjudicated",ISNUMBER(N114),B114&lt;&gt;"",C114&lt;&gt;"",D114&lt;&gt;"",E114&lt;&gt;"",F114&lt;&gt;"",O114&lt;&gt;"",P114&lt;&gt;"",Q114&lt;&gt;"",S114&lt;&gt;""),"ELIGIBLE","EXCLUDED"))</x:f>
      </x:c>
    </x:row>
    <x:row r="115" ht="32" customHeight="1">
      <x:c r="A115" s="21"/>
      <x:c r="B115" s="21"/>
      <x:c r="C115" s="21"/>
      <x:c r="D115" s="21"/>
      <x:c r="E115" s="21"/>
      <x:c r="F115" s="21"/>
      <x:c r="G115" s="21"/>
      <x:c r="H115" s="28"/>
      <x:c r="I115" s="28"/>
      <x:c r="J115" s="28"/>
      <x:c r="K115" s="28"/>
      <x:c r="L115" s="28"/>
      <x:c r="M115" s="28"/>
      <x:c r="N115" s="29" t="str">
        <x:f>IF(A115="","",IF(AND(COUNT(H115:M115)=Start!$B$12,MIN(H115:M115)&gt;=0,MAX(H115:M115)&lt;=Start!$B$11),SUM(H115:M115),""))</x:f>
      </x:c>
      <x:c r="O115" s="21"/>
      <x:c r="P115" s="21"/>
      <x:c r="Q115" s="21"/>
      <x:c r="R115" s="21"/>
      <x:c r="S115" s="21"/>
      <x:c r="T115" s="21"/>
      <x:c r="U115" s="26" t="str">
        <x:f>IF(A115="","",IF(AND(R115="LIVE",G115="Adjudicated",ISNUMBER(N115),B115&lt;&gt;"",C115&lt;&gt;"",D115&lt;&gt;"",E115&lt;&gt;"",F115&lt;&gt;"",O115&lt;&gt;"",P115&lt;&gt;"",Q115&lt;&gt;"",S115&lt;&gt;""),"ELIGIBLE","EXCLUDED"))</x:f>
      </x:c>
    </x:row>
    <x:row r="116" ht="32" customHeight="1">
      <x:c r="A116" s="21"/>
      <x:c r="B116" s="21"/>
      <x:c r="C116" s="21"/>
      <x:c r="D116" s="21"/>
      <x:c r="E116" s="21"/>
      <x:c r="F116" s="21"/>
      <x:c r="G116" s="21"/>
      <x:c r="H116" s="28"/>
      <x:c r="I116" s="28"/>
      <x:c r="J116" s="28"/>
      <x:c r="K116" s="28"/>
      <x:c r="L116" s="28"/>
      <x:c r="M116" s="28"/>
      <x:c r="N116" s="29" t="str">
        <x:f>IF(A116="","",IF(AND(COUNT(H116:M116)=Start!$B$12,MIN(H116:M116)&gt;=0,MAX(H116:M116)&lt;=Start!$B$11),SUM(H116:M116),""))</x:f>
      </x:c>
      <x:c r="O116" s="21"/>
      <x:c r="P116" s="21"/>
      <x:c r="Q116" s="21"/>
      <x:c r="R116" s="21"/>
      <x:c r="S116" s="21"/>
      <x:c r="T116" s="21"/>
      <x:c r="U116" s="26" t="str">
        <x:f>IF(A116="","",IF(AND(R116="LIVE",G116="Adjudicated",ISNUMBER(N116),B116&lt;&gt;"",C116&lt;&gt;"",D116&lt;&gt;"",E116&lt;&gt;"",F116&lt;&gt;"",O116&lt;&gt;"",P116&lt;&gt;"",Q116&lt;&gt;"",S116&lt;&gt;""),"ELIGIBLE","EXCLUDED"))</x:f>
      </x:c>
    </x:row>
    <x:row r="117" ht="32" customHeight="1">
      <x:c r="A117" s="21"/>
      <x:c r="B117" s="21"/>
      <x:c r="C117" s="21"/>
      <x:c r="D117" s="21"/>
      <x:c r="E117" s="21"/>
      <x:c r="F117" s="21"/>
      <x:c r="G117" s="21"/>
      <x:c r="H117" s="28"/>
      <x:c r="I117" s="28"/>
      <x:c r="J117" s="28"/>
      <x:c r="K117" s="28"/>
      <x:c r="L117" s="28"/>
      <x:c r="M117" s="28"/>
      <x:c r="N117" s="29" t="str">
        <x:f>IF(A117="","",IF(AND(COUNT(H117:M117)=Start!$B$12,MIN(H117:M117)&gt;=0,MAX(H117:M117)&lt;=Start!$B$11),SUM(H117:M117),""))</x:f>
      </x:c>
      <x:c r="O117" s="21"/>
      <x:c r="P117" s="21"/>
      <x:c r="Q117" s="21"/>
      <x:c r="R117" s="21"/>
      <x:c r="S117" s="21"/>
      <x:c r="T117" s="21"/>
      <x:c r="U117" s="26" t="str">
        <x:f>IF(A117="","",IF(AND(R117="LIVE",G117="Adjudicated",ISNUMBER(N117),B117&lt;&gt;"",C117&lt;&gt;"",D117&lt;&gt;"",E117&lt;&gt;"",F117&lt;&gt;"",O117&lt;&gt;"",P117&lt;&gt;"",Q117&lt;&gt;"",S117&lt;&gt;""),"ELIGIBLE","EXCLUDED"))</x:f>
      </x:c>
    </x:row>
    <x:row r="118" ht="32" customHeight="1">
      <x:c r="A118" s="21"/>
      <x:c r="B118" s="21"/>
      <x:c r="C118" s="21"/>
      <x:c r="D118" s="21"/>
      <x:c r="E118" s="21"/>
      <x:c r="F118" s="21"/>
      <x:c r="G118" s="21"/>
      <x:c r="H118" s="28"/>
      <x:c r="I118" s="28"/>
      <x:c r="J118" s="28"/>
      <x:c r="K118" s="28"/>
      <x:c r="L118" s="28"/>
      <x:c r="M118" s="28"/>
      <x:c r="N118" s="29" t="str">
        <x:f>IF(A118="","",IF(AND(COUNT(H118:M118)=Start!$B$12,MIN(H118:M118)&gt;=0,MAX(H118:M118)&lt;=Start!$B$11),SUM(H118:M118),""))</x:f>
      </x:c>
      <x:c r="O118" s="21"/>
      <x:c r="P118" s="21"/>
      <x:c r="Q118" s="21"/>
      <x:c r="R118" s="21"/>
      <x:c r="S118" s="21"/>
      <x:c r="T118" s="21"/>
      <x:c r="U118" s="26" t="str">
        <x:f>IF(A118="","",IF(AND(R118="LIVE",G118="Adjudicated",ISNUMBER(N118),B118&lt;&gt;"",C118&lt;&gt;"",D118&lt;&gt;"",E118&lt;&gt;"",F118&lt;&gt;"",O118&lt;&gt;"",P118&lt;&gt;"",Q118&lt;&gt;"",S118&lt;&gt;""),"ELIGIBLE","EXCLUDED"))</x:f>
      </x:c>
    </x:row>
    <x:row r="119" ht="32" customHeight="1">
      <x:c r="A119" s="21"/>
      <x:c r="B119" s="21"/>
      <x:c r="C119" s="21"/>
      <x:c r="D119" s="21"/>
      <x:c r="E119" s="21"/>
      <x:c r="F119" s="21"/>
      <x:c r="G119" s="21"/>
      <x:c r="H119" s="28"/>
      <x:c r="I119" s="28"/>
      <x:c r="J119" s="28"/>
      <x:c r="K119" s="28"/>
      <x:c r="L119" s="28"/>
      <x:c r="M119" s="28"/>
      <x:c r="N119" s="29" t="str">
        <x:f>IF(A119="","",IF(AND(COUNT(H119:M119)=Start!$B$12,MIN(H119:M119)&gt;=0,MAX(H119:M119)&lt;=Start!$B$11),SUM(H119:M119),""))</x:f>
      </x:c>
      <x:c r="O119" s="21"/>
      <x:c r="P119" s="21"/>
      <x:c r="Q119" s="21"/>
      <x:c r="R119" s="21"/>
      <x:c r="S119" s="21"/>
      <x:c r="T119" s="21"/>
      <x:c r="U119" s="26" t="str">
        <x:f>IF(A119="","",IF(AND(R119="LIVE",G119="Adjudicated",ISNUMBER(N119),B119&lt;&gt;"",C119&lt;&gt;"",D119&lt;&gt;"",E119&lt;&gt;"",F119&lt;&gt;"",O119&lt;&gt;"",P119&lt;&gt;"",Q119&lt;&gt;"",S119&lt;&gt;""),"ELIGIBLE","EXCLUDED"))</x:f>
      </x:c>
    </x:row>
    <x:row r="120" ht="32" customHeight="1">
      <x:c r="A120" s="21"/>
      <x:c r="B120" s="21"/>
      <x:c r="C120" s="21"/>
      <x:c r="D120" s="21"/>
      <x:c r="E120" s="21"/>
      <x:c r="F120" s="21"/>
      <x:c r="G120" s="21"/>
      <x:c r="H120" s="28"/>
      <x:c r="I120" s="28"/>
      <x:c r="J120" s="28"/>
      <x:c r="K120" s="28"/>
      <x:c r="L120" s="28"/>
      <x:c r="M120" s="28"/>
      <x:c r="N120" s="29" t="str">
        <x:f>IF(A120="","",IF(AND(COUNT(H120:M120)=Start!$B$12,MIN(H120:M120)&gt;=0,MAX(H120:M120)&lt;=Start!$B$11),SUM(H120:M120),""))</x:f>
      </x:c>
      <x:c r="O120" s="21"/>
      <x:c r="P120" s="21"/>
      <x:c r="Q120" s="21"/>
      <x:c r="R120" s="21"/>
      <x:c r="S120" s="21"/>
      <x:c r="T120" s="21"/>
      <x:c r="U120" s="26" t="str">
        <x:f>IF(A120="","",IF(AND(R120="LIVE",G120="Adjudicated",ISNUMBER(N120),B120&lt;&gt;"",C120&lt;&gt;"",D120&lt;&gt;"",E120&lt;&gt;"",F120&lt;&gt;"",O120&lt;&gt;"",P120&lt;&gt;"",Q120&lt;&gt;"",S120&lt;&gt;""),"ELIGIBLE","EXCLUDED"))</x:f>
      </x:c>
    </x:row>
    <x:row r="121" ht="32" customHeight="1">
      <x:c r="A121" s="21"/>
      <x:c r="B121" s="21"/>
      <x:c r="C121" s="21"/>
      <x:c r="D121" s="21"/>
      <x:c r="E121" s="21"/>
      <x:c r="F121" s="21"/>
      <x:c r="G121" s="21"/>
      <x:c r="H121" s="28"/>
      <x:c r="I121" s="28"/>
      <x:c r="J121" s="28"/>
      <x:c r="K121" s="28"/>
      <x:c r="L121" s="28"/>
      <x:c r="M121" s="28"/>
      <x:c r="N121" s="29" t="str">
        <x:f>IF(A121="","",IF(AND(COUNT(H121:M121)=Start!$B$12,MIN(H121:M121)&gt;=0,MAX(H121:M121)&lt;=Start!$B$11),SUM(H121:M121),""))</x:f>
      </x:c>
      <x:c r="O121" s="21"/>
      <x:c r="P121" s="21"/>
      <x:c r="Q121" s="21"/>
      <x:c r="R121" s="21"/>
      <x:c r="S121" s="21"/>
      <x:c r="T121" s="21"/>
      <x:c r="U121" s="26" t="str">
        <x:f>IF(A121="","",IF(AND(R121="LIVE",G121="Adjudicated",ISNUMBER(N121),B121&lt;&gt;"",C121&lt;&gt;"",D121&lt;&gt;"",E121&lt;&gt;"",F121&lt;&gt;"",O121&lt;&gt;"",P121&lt;&gt;"",Q121&lt;&gt;"",S121&lt;&gt;""),"ELIGIBLE","EXCLUDED"))</x:f>
      </x:c>
    </x:row>
    <x:row r="122" ht="32" customHeight="1">
      <x:c r="A122" s="21"/>
      <x:c r="B122" s="21"/>
      <x:c r="C122" s="21"/>
      <x:c r="D122" s="21"/>
      <x:c r="E122" s="21"/>
      <x:c r="F122" s="21"/>
      <x:c r="G122" s="21"/>
      <x:c r="H122" s="28"/>
      <x:c r="I122" s="28"/>
      <x:c r="J122" s="28"/>
      <x:c r="K122" s="28"/>
      <x:c r="L122" s="28"/>
      <x:c r="M122" s="28"/>
      <x:c r="N122" s="29" t="str">
        <x:f>IF(A122="","",IF(AND(COUNT(H122:M122)=Start!$B$12,MIN(H122:M122)&gt;=0,MAX(H122:M122)&lt;=Start!$B$11),SUM(H122:M122),""))</x:f>
      </x:c>
      <x:c r="O122" s="21"/>
      <x:c r="P122" s="21"/>
      <x:c r="Q122" s="21"/>
      <x:c r="R122" s="21"/>
      <x:c r="S122" s="21"/>
      <x:c r="T122" s="21"/>
      <x:c r="U122" s="26" t="str">
        <x:f>IF(A122="","",IF(AND(R122="LIVE",G122="Adjudicated",ISNUMBER(N122),B122&lt;&gt;"",C122&lt;&gt;"",D122&lt;&gt;"",E122&lt;&gt;"",F122&lt;&gt;"",O122&lt;&gt;"",P122&lt;&gt;"",Q122&lt;&gt;"",S122&lt;&gt;""),"ELIGIBLE","EXCLUDED"))</x:f>
      </x:c>
    </x:row>
    <x:row r="123" ht="32" customHeight="1">
      <x:c r="A123" s="21"/>
      <x:c r="B123" s="21"/>
      <x:c r="C123" s="21"/>
      <x:c r="D123" s="21"/>
      <x:c r="E123" s="21"/>
      <x:c r="F123" s="21"/>
      <x:c r="G123" s="21"/>
      <x:c r="H123" s="28"/>
      <x:c r="I123" s="28"/>
      <x:c r="J123" s="28"/>
      <x:c r="K123" s="28"/>
      <x:c r="L123" s="28"/>
      <x:c r="M123" s="28"/>
      <x:c r="N123" s="29" t="str">
        <x:f>IF(A123="","",IF(AND(COUNT(H123:M123)=Start!$B$12,MIN(H123:M123)&gt;=0,MAX(H123:M123)&lt;=Start!$B$11),SUM(H123:M123),""))</x:f>
      </x:c>
      <x:c r="O123" s="21"/>
      <x:c r="P123" s="21"/>
      <x:c r="Q123" s="21"/>
      <x:c r="R123" s="21"/>
      <x:c r="S123" s="21"/>
      <x:c r="T123" s="21"/>
      <x:c r="U123" s="26" t="str">
        <x:f>IF(A123="","",IF(AND(R123="LIVE",G123="Adjudicated",ISNUMBER(N123),B123&lt;&gt;"",C123&lt;&gt;"",D123&lt;&gt;"",E123&lt;&gt;"",F123&lt;&gt;"",O123&lt;&gt;"",P123&lt;&gt;"",Q123&lt;&gt;"",S123&lt;&gt;""),"ELIGIBLE","EXCLUDED"))</x:f>
      </x:c>
    </x:row>
    <x:row r="124" ht="32" customHeight="1">
      <x:c r="A124" s="21"/>
      <x:c r="B124" s="21"/>
      <x:c r="C124" s="21"/>
      <x:c r="D124" s="21"/>
      <x:c r="E124" s="21"/>
      <x:c r="F124" s="21"/>
      <x:c r="G124" s="21"/>
      <x:c r="H124" s="28"/>
      <x:c r="I124" s="28"/>
      <x:c r="J124" s="28"/>
      <x:c r="K124" s="28"/>
      <x:c r="L124" s="28"/>
      <x:c r="M124" s="28"/>
      <x:c r="N124" s="29" t="str">
        <x:f>IF(A124="","",IF(AND(COUNT(H124:M124)=Start!$B$12,MIN(H124:M124)&gt;=0,MAX(H124:M124)&lt;=Start!$B$11),SUM(H124:M124),""))</x:f>
      </x:c>
      <x:c r="O124" s="21"/>
      <x:c r="P124" s="21"/>
      <x:c r="Q124" s="21"/>
      <x:c r="R124" s="21"/>
      <x:c r="S124" s="21"/>
      <x:c r="T124" s="21"/>
      <x:c r="U124" s="26" t="str">
        <x:f>IF(A124="","",IF(AND(R124="LIVE",G124="Adjudicated",ISNUMBER(N124),B124&lt;&gt;"",C124&lt;&gt;"",D124&lt;&gt;"",E124&lt;&gt;"",F124&lt;&gt;"",O124&lt;&gt;"",P124&lt;&gt;"",Q124&lt;&gt;"",S124&lt;&gt;""),"ELIGIBLE","EXCLUDED"))</x:f>
      </x:c>
    </x:row>
    <x:row r="125" ht="32" customHeight="1">
      <x:c r="A125" s="21"/>
      <x:c r="B125" s="21"/>
      <x:c r="C125" s="21"/>
      <x:c r="D125" s="21"/>
      <x:c r="E125" s="21"/>
      <x:c r="F125" s="21"/>
      <x:c r="G125" s="21"/>
      <x:c r="H125" s="28"/>
      <x:c r="I125" s="28"/>
      <x:c r="J125" s="28"/>
      <x:c r="K125" s="28"/>
      <x:c r="L125" s="28"/>
      <x:c r="M125" s="28"/>
      <x:c r="N125" s="29" t="str">
        <x:f>IF(A125="","",IF(AND(COUNT(H125:M125)=Start!$B$12,MIN(H125:M125)&gt;=0,MAX(H125:M125)&lt;=Start!$B$11),SUM(H125:M125),""))</x:f>
      </x:c>
      <x:c r="O125" s="21"/>
      <x:c r="P125" s="21"/>
      <x:c r="Q125" s="21"/>
      <x:c r="R125" s="21"/>
      <x:c r="S125" s="21"/>
      <x:c r="T125" s="21"/>
      <x:c r="U125" s="26" t="str">
        <x:f>IF(A125="","",IF(AND(R125="LIVE",G125="Adjudicated",ISNUMBER(N125),B125&lt;&gt;"",C125&lt;&gt;"",D125&lt;&gt;"",E125&lt;&gt;"",F125&lt;&gt;"",O125&lt;&gt;"",P125&lt;&gt;"",Q125&lt;&gt;"",S125&lt;&gt;""),"ELIGIBLE","EXCLUDED"))</x:f>
      </x:c>
    </x:row>
    <x:row r="126" ht="32" customHeight="1">
      <x:c r="A126" s="21"/>
      <x:c r="B126" s="21"/>
      <x:c r="C126" s="21"/>
      <x:c r="D126" s="21"/>
      <x:c r="E126" s="21"/>
      <x:c r="F126" s="21"/>
      <x:c r="G126" s="21"/>
      <x:c r="H126" s="28"/>
      <x:c r="I126" s="28"/>
      <x:c r="J126" s="28"/>
      <x:c r="K126" s="28"/>
      <x:c r="L126" s="28"/>
      <x:c r="M126" s="28"/>
      <x:c r="N126" s="29" t="str">
        <x:f>IF(A126="","",IF(AND(COUNT(H126:M126)=Start!$B$12,MIN(H126:M126)&gt;=0,MAX(H126:M126)&lt;=Start!$B$11),SUM(H126:M126),""))</x:f>
      </x:c>
      <x:c r="O126" s="21"/>
      <x:c r="P126" s="21"/>
      <x:c r="Q126" s="21"/>
      <x:c r="R126" s="21"/>
      <x:c r="S126" s="21"/>
      <x:c r="T126" s="21"/>
      <x:c r="U126" s="26" t="str">
        <x:f>IF(A126="","",IF(AND(R126="LIVE",G126="Adjudicated",ISNUMBER(N126),B126&lt;&gt;"",C126&lt;&gt;"",D126&lt;&gt;"",E126&lt;&gt;"",F126&lt;&gt;"",O126&lt;&gt;"",P126&lt;&gt;"",Q126&lt;&gt;"",S126&lt;&gt;""),"ELIGIBLE","EXCLUDED"))</x:f>
      </x:c>
    </x:row>
    <x:row r="127" ht="32" customHeight="1">
      <x:c r="A127" s="21"/>
      <x:c r="B127" s="21"/>
      <x:c r="C127" s="21"/>
      <x:c r="D127" s="21"/>
      <x:c r="E127" s="21"/>
      <x:c r="F127" s="21"/>
      <x:c r="G127" s="21"/>
      <x:c r="H127" s="28"/>
      <x:c r="I127" s="28"/>
      <x:c r="J127" s="28"/>
      <x:c r="K127" s="28"/>
      <x:c r="L127" s="28"/>
      <x:c r="M127" s="28"/>
      <x:c r="N127" s="29" t="str">
        <x:f>IF(A127="","",IF(AND(COUNT(H127:M127)=Start!$B$12,MIN(H127:M127)&gt;=0,MAX(H127:M127)&lt;=Start!$B$11),SUM(H127:M127),""))</x:f>
      </x:c>
      <x:c r="O127" s="21"/>
      <x:c r="P127" s="21"/>
      <x:c r="Q127" s="21"/>
      <x:c r="R127" s="21"/>
      <x:c r="S127" s="21"/>
      <x:c r="T127" s="21"/>
      <x:c r="U127" s="26" t="str">
        <x:f>IF(A127="","",IF(AND(R127="LIVE",G127="Adjudicated",ISNUMBER(N127),B127&lt;&gt;"",C127&lt;&gt;"",D127&lt;&gt;"",E127&lt;&gt;"",F127&lt;&gt;"",O127&lt;&gt;"",P127&lt;&gt;"",Q127&lt;&gt;"",S127&lt;&gt;""),"ELIGIBLE","EXCLUDED"))</x:f>
      </x:c>
    </x:row>
    <x:row r="128" ht="32" customHeight="1">
      <x:c r="A128" s="21"/>
      <x:c r="B128" s="21"/>
      <x:c r="C128" s="21"/>
      <x:c r="D128" s="21"/>
      <x:c r="E128" s="21"/>
      <x:c r="F128" s="21"/>
      <x:c r="G128" s="21"/>
      <x:c r="H128" s="28"/>
      <x:c r="I128" s="28"/>
      <x:c r="J128" s="28"/>
      <x:c r="K128" s="28"/>
      <x:c r="L128" s="28"/>
      <x:c r="M128" s="28"/>
      <x:c r="N128" s="29" t="str">
        <x:f>IF(A128="","",IF(AND(COUNT(H128:M128)=Start!$B$12,MIN(H128:M128)&gt;=0,MAX(H128:M128)&lt;=Start!$B$11),SUM(H128:M128),""))</x:f>
      </x:c>
      <x:c r="O128" s="21"/>
      <x:c r="P128" s="21"/>
      <x:c r="Q128" s="21"/>
      <x:c r="R128" s="21"/>
      <x:c r="S128" s="21"/>
      <x:c r="T128" s="21"/>
      <x:c r="U128" s="26" t="str">
        <x:f>IF(A128="","",IF(AND(R128="LIVE",G128="Adjudicated",ISNUMBER(N128),B128&lt;&gt;"",C128&lt;&gt;"",D128&lt;&gt;"",E128&lt;&gt;"",F128&lt;&gt;"",O128&lt;&gt;"",P128&lt;&gt;"",Q128&lt;&gt;"",S128&lt;&gt;""),"ELIGIBLE","EXCLUDED"))</x:f>
      </x:c>
    </x:row>
    <x:row r="129" ht="32" customHeight="1">
      <x:c r="A129" s="21"/>
      <x:c r="B129" s="21"/>
      <x:c r="C129" s="21"/>
      <x:c r="D129" s="21"/>
      <x:c r="E129" s="21"/>
      <x:c r="F129" s="21"/>
      <x:c r="G129" s="21"/>
      <x:c r="H129" s="28"/>
      <x:c r="I129" s="28"/>
      <x:c r="J129" s="28"/>
      <x:c r="K129" s="28"/>
      <x:c r="L129" s="28"/>
      <x:c r="M129" s="28"/>
      <x:c r="N129" s="29" t="str">
        <x:f>IF(A129="","",IF(AND(COUNT(H129:M129)=Start!$B$12,MIN(H129:M129)&gt;=0,MAX(H129:M129)&lt;=Start!$B$11),SUM(H129:M129),""))</x:f>
      </x:c>
      <x:c r="O129" s="21"/>
      <x:c r="P129" s="21"/>
      <x:c r="Q129" s="21"/>
      <x:c r="R129" s="21"/>
      <x:c r="S129" s="21"/>
      <x:c r="T129" s="21"/>
      <x:c r="U129" s="26" t="str">
        <x:f>IF(A129="","",IF(AND(R129="LIVE",G129="Adjudicated",ISNUMBER(N129),B129&lt;&gt;"",C129&lt;&gt;"",D129&lt;&gt;"",E129&lt;&gt;"",F129&lt;&gt;"",O129&lt;&gt;"",P129&lt;&gt;"",Q129&lt;&gt;"",S129&lt;&gt;""),"ELIGIBLE","EXCLUDED"))</x:f>
      </x:c>
    </x:row>
    <x:row r="130" ht="32" customHeight="1">
      <x:c r="A130" s="21"/>
      <x:c r="B130" s="21"/>
      <x:c r="C130" s="21"/>
      <x:c r="D130" s="21"/>
      <x:c r="E130" s="21"/>
      <x:c r="F130" s="21"/>
      <x:c r="G130" s="21"/>
      <x:c r="H130" s="28"/>
      <x:c r="I130" s="28"/>
      <x:c r="J130" s="28"/>
      <x:c r="K130" s="28"/>
      <x:c r="L130" s="28"/>
      <x:c r="M130" s="28"/>
      <x:c r="N130" s="29" t="str">
        <x:f>IF(A130="","",IF(AND(COUNT(H130:M130)=Start!$B$12,MIN(H130:M130)&gt;=0,MAX(H130:M130)&lt;=Start!$B$11),SUM(H130:M130),""))</x:f>
      </x:c>
      <x:c r="O130" s="21"/>
      <x:c r="P130" s="21"/>
      <x:c r="Q130" s="21"/>
      <x:c r="R130" s="21"/>
      <x:c r="S130" s="21"/>
      <x:c r="T130" s="21"/>
      <x:c r="U130" s="26" t="str">
        <x:f>IF(A130="","",IF(AND(R130="LIVE",G130="Adjudicated",ISNUMBER(N130),B130&lt;&gt;"",C130&lt;&gt;"",D130&lt;&gt;"",E130&lt;&gt;"",F130&lt;&gt;"",O130&lt;&gt;"",P130&lt;&gt;"",Q130&lt;&gt;"",S130&lt;&gt;""),"ELIGIBLE","EXCLUDED"))</x:f>
      </x:c>
    </x:row>
    <x:row r="131" ht="32" customHeight="1">
      <x:c r="A131" s="21"/>
      <x:c r="B131" s="21"/>
      <x:c r="C131" s="21"/>
      <x:c r="D131" s="21"/>
      <x:c r="E131" s="21"/>
      <x:c r="F131" s="21"/>
      <x:c r="G131" s="21"/>
      <x:c r="H131" s="28"/>
      <x:c r="I131" s="28"/>
      <x:c r="J131" s="28"/>
      <x:c r="K131" s="28"/>
      <x:c r="L131" s="28"/>
      <x:c r="M131" s="28"/>
      <x:c r="N131" s="29" t="str">
        <x:f>IF(A131="","",IF(AND(COUNT(H131:M131)=Start!$B$12,MIN(H131:M131)&gt;=0,MAX(H131:M131)&lt;=Start!$B$11),SUM(H131:M131),""))</x:f>
      </x:c>
      <x:c r="O131" s="21"/>
      <x:c r="P131" s="21"/>
      <x:c r="Q131" s="21"/>
      <x:c r="R131" s="21"/>
      <x:c r="S131" s="21"/>
      <x:c r="T131" s="21"/>
      <x:c r="U131" s="26" t="str">
        <x:f>IF(A131="","",IF(AND(R131="LIVE",G131="Adjudicated",ISNUMBER(N131),B131&lt;&gt;"",C131&lt;&gt;"",D131&lt;&gt;"",E131&lt;&gt;"",F131&lt;&gt;"",O131&lt;&gt;"",P131&lt;&gt;"",Q131&lt;&gt;"",S131&lt;&gt;""),"ELIGIBLE","EXCLUDED"))</x:f>
      </x:c>
    </x:row>
    <x:row r="132" ht="32" customHeight="1">
      <x:c r="A132" s="21"/>
      <x:c r="B132" s="21"/>
      <x:c r="C132" s="21"/>
      <x:c r="D132" s="21"/>
      <x:c r="E132" s="21"/>
      <x:c r="F132" s="21"/>
      <x:c r="G132" s="21"/>
      <x:c r="H132" s="28"/>
      <x:c r="I132" s="28"/>
      <x:c r="J132" s="28"/>
      <x:c r="K132" s="28"/>
      <x:c r="L132" s="28"/>
      <x:c r="M132" s="28"/>
      <x:c r="N132" s="29" t="str">
        <x:f>IF(A132="","",IF(AND(COUNT(H132:M132)=Start!$B$12,MIN(H132:M132)&gt;=0,MAX(H132:M132)&lt;=Start!$B$11),SUM(H132:M132),""))</x:f>
      </x:c>
      <x:c r="O132" s="21"/>
      <x:c r="P132" s="21"/>
      <x:c r="Q132" s="21"/>
      <x:c r="R132" s="21"/>
      <x:c r="S132" s="21"/>
      <x:c r="T132" s="21"/>
      <x:c r="U132" s="26" t="str">
        <x:f>IF(A132="","",IF(AND(R132="LIVE",G132="Adjudicated",ISNUMBER(N132),B132&lt;&gt;"",C132&lt;&gt;"",D132&lt;&gt;"",E132&lt;&gt;"",F132&lt;&gt;"",O132&lt;&gt;"",P132&lt;&gt;"",Q132&lt;&gt;"",S132&lt;&gt;""),"ELIGIBLE","EXCLUDED"))</x:f>
      </x:c>
    </x:row>
    <x:row r="133" ht="32" customHeight="1">
      <x:c r="A133" s="21"/>
      <x:c r="B133" s="21"/>
      <x:c r="C133" s="21"/>
      <x:c r="D133" s="21"/>
      <x:c r="E133" s="21"/>
      <x:c r="F133" s="21"/>
      <x:c r="G133" s="21"/>
      <x:c r="H133" s="28"/>
      <x:c r="I133" s="28"/>
      <x:c r="J133" s="28"/>
      <x:c r="K133" s="28"/>
      <x:c r="L133" s="28"/>
      <x:c r="M133" s="28"/>
      <x:c r="N133" s="29" t="str">
        <x:f>IF(A133="","",IF(AND(COUNT(H133:M133)=Start!$B$12,MIN(H133:M133)&gt;=0,MAX(H133:M133)&lt;=Start!$B$11),SUM(H133:M133),""))</x:f>
      </x:c>
      <x:c r="O133" s="21"/>
      <x:c r="P133" s="21"/>
      <x:c r="Q133" s="21"/>
      <x:c r="R133" s="21"/>
      <x:c r="S133" s="21"/>
      <x:c r="T133" s="21"/>
      <x:c r="U133" s="26" t="str">
        <x:f>IF(A133="","",IF(AND(R133="LIVE",G133="Adjudicated",ISNUMBER(N133),B133&lt;&gt;"",C133&lt;&gt;"",D133&lt;&gt;"",E133&lt;&gt;"",F133&lt;&gt;"",O133&lt;&gt;"",P133&lt;&gt;"",Q133&lt;&gt;"",S133&lt;&gt;""),"ELIGIBLE","EXCLUDED"))</x:f>
      </x:c>
    </x:row>
    <x:row r="134" ht="32" customHeight="1">
      <x:c r="A134" s="21"/>
      <x:c r="B134" s="21"/>
      <x:c r="C134" s="21"/>
      <x:c r="D134" s="21"/>
      <x:c r="E134" s="21"/>
      <x:c r="F134" s="21"/>
      <x:c r="G134" s="21"/>
      <x:c r="H134" s="28"/>
      <x:c r="I134" s="28"/>
      <x:c r="J134" s="28"/>
      <x:c r="K134" s="28"/>
      <x:c r="L134" s="28"/>
      <x:c r="M134" s="28"/>
      <x:c r="N134" s="29" t="str">
        <x:f>IF(A134="","",IF(AND(COUNT(H134:M134)=Start!$B$12,MIN(H134:M134)&gt;=0,MAX(H134:M134)&lt;=Start!$B$11),SUM(H134:M134),""))</x:f>
      </x:c>
      <x:c r="O134" s="21"/>
      <x:c r="P134" s="21"/>
      <x:c r="Q134" s="21"/>
      <x:c r="R134" s="21"/>
      <x:c r="S134" s="21"/>
      <x:c r="T134" s="21"/>
      <x:c r="U134" s="26" t="str">
        <x:f>IF(A134="","",IF(AND(R134="LIVE",G134="Adjudicated",ISNUMBER(N134),B134&lt;&gt;"",C134&lt;&gt;"",D134&lt;&gt;"",E134&lt;&gt;"",F134&lt;&gt;"",O134&lt;&gt;"",P134&lt;&gt;"",Q134&lt;&gt;"",S134&lt;&gt;""),"ELIGIBLE","EXCLUDED"))</x:f>
      </x:c>
    </x:row>
    <x:row r="135" ht="32" customHeight="1">
      <x:c r="A135" s="21"/>
      <x:c r="B135" s="21"/>
      <x:c r="C135" s="21"/>
      <x:c r="D135" s="21"/>
      <x:c r="E135" s="21"/>
      <x:c r="F135" s="21"/>
      <x:c r="G135" s="21"/>
      <x:c r="H135" s="28"/>
      <x:c r="I135" s="28"/>
      <x:c r="J135" s="28"/>
      <x:c r="K135" s="28"/>
      <x:c r="L135" s="28"/>
      <x:c r="M135" s="28"/>
      <x:c r="N135" s="29" t="str">
        <x:f>IF(A135="","",IF(AND(COUNT(H135:M135)=Start!$B$12,MIN(H135:M135)&gt;=0,MAX(H135:M135)&lt;=Start!$B$11),SUM(H135:M135),""))</x:f>
      </x:c>
      <x:c r="O135" s="21"/>
      <x:c r="P135" s="21"/>
      <x:c r="Q135" s="21"/>
      <x:c r="R135" s="21"/>
      <x:c r="S135" s="21"/>
      <x:c r="T135" s="21"/>
      <x:c r="U135" s="26" t="str">
        <x:f>IF(A135="","",IF(AND(R135="LIVE",G135="Adjudicated",ISNUMBER(N135),B135&lt;&gt;"",C135&lt;&gt;"",D135&lt;&gt;"",E135&lt;&gt;"",F135&lt;&gt;"",O135&lt;&gt;"",P135&lt;&gt;"",Q135&lt;&gt;"",S135&lt;&gt;""),"ELIGIBLE","EXCLUDED"))</x:f>
      </x:c>
    </x:row>
    <x:row r="136" ht="32" customHeight="1">
      <x:c r="A136" s="21"/>
      <x:c r="B136" s="21"/>
      <x:c r="C136" s="21"/>
      <x:c r="D136" s="21"/>
      <x:c r="E136" s="21"/>
      <x:c r="F136" s="21"/>
      <x:c r="G136" s="21"/>
      <x:c r="H136" s="28"/>
      <x:c r="I136" s="28"/>
      <x:c r="J136" s="28"/>
      <x:c r="K136" s="28"/>
      <x:c r="L136" s="28"/>
      <x:c r="M136" s="28"/>
      <x:c r="N136" s="29" t="str">
        <x:f>IF(A136="","",IF(AND(COUNT(H136:M136)=Start!$B$12,MIN(H136:M136)&gt;=0,MAX(H136:M136)&lt;=Start!$B$11),SUM(H136:M136),""))</x:f>
      </x:c>
      <x:c r="O136" s="21"/>
      <x:c r="P136" s="21"/>
      <x:c r="Q136" s="21"/>
      <x:c r="R136" s="21"/>
      <x:c r="S136" s="21"/>
      <x:c r="T136" s="21"/>
      <x:c r="U136" s="26" t="str">
        <x:f>IF(A136="","",IF(AND(R136="LIVE",G136="Adjudicated",ISNUMBER(N136),B136&lt;&gt;"",C136&lt;&gt;"",D136&lt;&gt;"",E136&lt;&gt;"",F136&lt;&gt;"",O136&lt;&gt;"",P136&lt;&gt;"",Q136&lt;&gt;"",S136&lt;&gt;""),"ELIGIBLE","EXCLUDED"))</x:f>
      </x:c>
    </x:row>
    <x:row r="137" ht="32" customHeight="1">
      <x:c r="A137" s="21"/>
      <x:c r="B137" s="21"/>
      <x:c r="C137" s="21"/>
      <x:c r="D137" s="21"/>
      <x:c r="E137" s="21"/>
      <x:c r="F137" s="21"/>
      <x:c r="G137" s="21"/>
      <x:c r="H137" s="28"/>
      <x:c r="I137" s="28"/>
      <x:c r="J137" s="28"/>
      <x:c r="K137" s="28"/>
      <x:c r="L137" s="28"/>
      <x:c r="M137" s="28"/>
      <x:c r="N137" s="29" t="str">
        <x:f>IF(A137="","",IF(AND(COUNT(H137:M137)=Start!$B$12,MIN(H137:M137)&gt;=0,MAX(H137:M137)&lt;=Start!$B$11),SUM(H137:M137),""))</x:f>
      </x:c>
      <x:c r="O137" s="21"/>
      <x:c r="P137" s="21"/>
      <x:c r="Q137" s="21"/>
      <x:c r="R137" s="21"/>
      <x:c r="S137" s="21"/>
      <x:c r="T137" s="21"/>
      <x:c r="U137" s="26" t="str">
        <x:f>IF(A137="","",IF(AND(R137="LIVE",G137="Adjudicated",ISNUMBER(N137),B137&lt;&gt;"",C137&lt;&gt;"",D137&lt;&gt;"",E137&lt;&gt;"",F137&lt;&gt;"",O137&lt;&gt;"",P137&lt;&gt;"",Q137&lt;&gt;"",S137&lt;&gt;""),"ELIGIBLE","EXCLUDED"))</x:f>
      </x:c>
    </x:row>
    <x:row r="138" ht="32" customHeight="1">
      <x:c r="A138" s="21"/>
      <x:c r="B138" s="21"/>
      <x:c r="C138" s="21"/>
      <x:c r="D138" s="21"/>
      <x:c r="E138" s="21"/>
      <x:c r="F138" s="21"/>
      <x:c r="G138" s="21"/>
      <x:c r="H138" s="28"/>
      <x:c r="I138" s="28"/>
      <x:c r="J138" s="28"/>
      <x:c r="K138" s="28"/>
      <x:c r="L138" s="28"/>
      <x:c r="M138" s="28"/>
      <x:c r="N138" s="29" t="str">
        <x:f>IF(A138="","",IF(AND(COUNT(H138:M138)=Start!$B$12,MIN(H138:M138)&gt;=0,MAX(H138:M138)&lt;=Start!$B$11),SUM(H138:M138),""))</x:f>
      </x:c>
      <x:c r="O138" s="21"/>
      <x:c r="P138" s="21"/>
      <x:c r="Q138" s="21"/>
      <x:c r="R138" s="21"/>
      <x:c r="S138" s="21"/>
      <x:c r="T138" s="21"/>
      <x:c r="U138" s="26" t="str">
        <x:f>IF(A138="","",IF(AND(R138="LIVE",G138="Adjudicated",ISNUMBER(N138),B138&lt;&gt;"",C138&lt;&gt;"",D138&lt;&gt;"",E138&lt;&gt;"",F138&lt;&gt;"",O138&lt;&gt;"",P138&lt;&gt;"",Q138&lt;&gt;"",S138&lt;&gt;""),"ELIGIBLE","EXCLUDED"))</x:f>
      </x:c>
    </x:row>
    <x:row r="139" ht="32" customHeight="1">
      <x:c r="A139" s="21"/>
      <x:c r="B139" s="21"/>
      <x:c r="C139" s="21"/>
      <x:c r="D139" s="21"/>
      <x:c r="E139" s="21"/>
      <x:c r="F139" s="21"/>
      <x:c r="G139" s="21"/>
      <x:c r="H139" s="28"/>
      <x:c r="I139" s="28"/>
      <x:c r="J139" s="28"/>
      <x:c r="K139" s="28"/>
      <x:c r="L139" s="28"/>
      <x:c r="M139" s="28"/>
      <x:c r="N139" s="29" t="str">
        <x:f>IF(A139="","",IF(AND(COUNT(H139:M139)=Start!$B$12,MIN(H139:M139)&gt;=0,MAX(H139:M139)&lt;=Start!$B$11),SUM(H139:M139),""))</x:f>
      </x:c>
      <x:c r="O139" s="21"/>
      <x:c r="P139" s="21"/>
      <x:c r="Q139" s="21"/>
      <x:c r="R139" s="21"/>
      <x:c r="S139" s="21"/>
      <x:c r="T139" s="21"/>
      <x:c r="U139" s="26" t="str">
        <x:f>IF(A139="","",IF(AND(R139="LIVE",G139="Adjudicated",ISNUMBER(N139),B139&lt;&gt;"",C139&lt;&gt;"",D139&lt;&gt;"",E139&lt;&gt;"",F139&lt;&gt;"",O139&lt;&gt;"",P139&lt;&gt;"",Q139&lt;&gt;"",S139&lt;&gt;""),"ELIGIBLE","EXCLUDED"))</x:f>
      </x:c>
    </x:row>
    <x:row r="140" ht="32" customHeight="1">
      <x:c r="A140" s="21"/>
      <x:c r="B140" s="21"/>
      <x:c r="C140" s="21"/>
      <x:c r="D140" s="21"/>
      <x:c r="E140" s="21"/>
      <x:c r="F140" s="21"/>
      <x:c r="G140" s="21"/>
      <x:c r="H140" s="28"/>
      <x:c r="I140" s="28"/>
      <x:c r="J140" s="28"/>
      <x:c r="K140" s="28"/>
      <x:c r="L140" s="28"/>
      <x:c r="M140" s="28"/>
      <x:c r="N140" s="29" t="str">
        <x:f>IF(A140="","",IF(AND(COUNT(H140:M140)=Start!$B$12,MIN(H140:M140)&gt;=0,MAX(H140:M140)&lt;=Start!$B$11),SUM(H140:M140),""))</x:f>
      </x:c>
      <x:c r="O140" s="21"/>
      <x:c r="P140" s="21"/>
      <x:c r="Q140" s="21"/>
      <x:c r="R140" s="21"/>
      <x:c r="S140" s="21"/>
      <x:c r="T140" s="21"/>
      <x:c r="U140" s="26" t="str">
        <x:f>IF(A140="","",IF(AND(R140="LIVE",G140="Adjudicated",ISNUMBER(N140),B140&lt;&gt;"",C140&lt;&gt;"",D140&lt;&gt;"",E140&lt;&gt;"",F140&lt;&gt;"",O140&lt;&gt;"",P140&lt;&gt;"",Q140&lt;&gt;"",S140&lt;&gt;""),"ELIGIBLE","EXCLUDED"))</x:f>
      </x:c>
    </x:row>
    <x:row r="141" ht="32" customHeight="1">
      <x:c r="A141" s="21"/>
      <x:c r="B141" s="21"/>
      <x:c r="C141" s="21"/>
      <x:c r="D141" s="21"/>
      <x:c r="E141" s="21"/>
      <x:c r="F141" s="21"/>
      <x:c r="G141" s="21"/>
      <x:c r="H141" s="28"/>
      <x:c r="I141" s="28"/>
      <x:c r="J141" s="28"/>
      <x:c r="K141" s="28"/>
      <x:c r="L141" s="28"/>
      <x:c r="M141" s="28"/>
      <x:c r="N141" s="29" t="str">
        <x:f>IF(A141="","",IF(AND(COUNT(H141:M141)=Start!$B$12,MIN(H141:M141)&gt;=0,MAX(H141:M141)&lt;=Start!$B$11),SUM(H141:M141),""))</x:f>
      </x:c>
      <x:c r="O141" s="21"/>
      <x:c r="P141" s="21"/>
      <x:c r="Q141" s="21"/>
      <x:c r="R141" s="21"/>
      <x:c r="S141" s="21"/>
      <x:c r="T141" s="21"/>
      <x:c r="U141" s="26" t="str">
        <x:f>IF(A141="","",IF(AND(R141="LIVE",G141="Adjudicated",ISNUMBER(N141),B141&lt;&gt;"",C141&lt;&gt;"",D141&lt;&gt;"",E141&lt;&gt;"",F141&lt;&gt;"",O141&lt;&gt;"",P141&lt;&gt;"",Q141&lt;&gt;"",S141&lt;&gt;""),"ELIGIBLE","EXCLUDED"))</x:f>
      </x:c>
    </x:row>
    <x:row r="142" ht="32" customHeight="1">
      <x:c r="A142" s="21"/>
      <x:c r="B142" s="21"/>
      <x:c r="C142" s="21"/>
      <x:c r="D142" s="21"/>
      <x:c r="E142" s="21"/>
      <x:c r="F142" s="21"/>
      <x:c r="G142" s="21"/>
      <x:c r="H142" s="28"/>
      <x:c r="I142" s="28"/>
      <x:c r="J142" s="28"/>
      <x:c r="K142" s="28"/>
      <x:c r="L142" s="28"/>
      <x:c r="M142" s="28"/>
      <x:c r="N142" s="29" t="str">
        <x:f>IF(A142="","",IF(AND(COUNT(H142:M142)=Start!$B$12,MIN(H142:M142)&gt;=0,MAX(H142:M142)&lt;=Start!$B$11),SUM(H142:M142),""))</x:f>
      </x:c>
      <x:c r="O142" s="21"/>
      <x:c r="P142" s="21"/>
      <x:c r="Q142" s="21"/>
      <x:c r="R142" s="21"/>
      <x:c r="S142" s="21"/>
      <x:c r="T142" s="21"/>
      <x:c r="U142" s="26" t="str">
        <x:f>IF(A142="","",IF(AND(R142="LIVE",G142="Adjudicated",ISNUMBER(N142),B142&lt;&gt;"",C142&lt;&gt;"",D142&lt;&gt;"",E142&lt;&gt;"",F142&lt;&gt;"",O142&lt;&gt;"",P142&lt;&gt;"",Q142&lt;&gt;"",S142&lt;&gt;""),"ELIGIBLE","EXCLUDED"))</x:f>
      </x:c>
    </x:row>
    <x:row r="143" ht="32" customHeight="1">
      <x:c r="A143" s="21"/>
      <x:c r="B143" s="21"/>
      <x:c r="C143" s="21"/>
      <x:c r="D143" s="21"/>
      <x:c r="E143" s="21"/>
      <x:c r="F143" s="21"/>
      <x:c r="G143" s="21"/>
      <x:c r="H143" s="28"/>
      <x:c r="I143" s="28"/>
      <x:c r="J143" s="28"/>
      <x:c r="K143" s="28"/>
      <x:c r="L143" s="28"/>
      <x:c r="M143" s="28"/>
      <x:c r="N143" s="29" t="str">
        <x:f>IF(A143="","",IF(AND(COUNT(H143:M143)=Start!$B$12,MIN(H143:M143)&gt;=0,MAX(H143:M143)&lt;=Start!$B$11),SUM(H143:M143),""))</x:f>
      </x:c>
      <x:c r="O143" s="21"/>
      <x:c r="P143" s="21"/>
      <x:c r="Q143" s="21"/>
      <x:c r="R143" s="21"/>
      <x:c r="S143" s="21"/>
      <x:c r="T143" s="21"/>
      <x:c r="U143" s="26" t="str">
        <x:f>IF(A143="","",IF(AND(R143="LIVE",G143="Adjudicated",ISNUMBER(N143),B143&lt;&gt;"",C143&lt;&gt;"",D143&lt;&gt;"",E143&lt;&gt;"",F143&lt;&gt;"",O143&lt;&gt;"",P143&lt;&gt;"",Q143&lt;&gt;"",S143&lt;&gt;""),"ELIGIBLE","EXCLUDED"))</x:f>
      </x:c>
    </x:row>
    <x:row r="144" ht="32" customHeight="1">
      <x:c r="A144" s="21"/>
      <x:c r="B144" s="21"/>
      <x:c r="C144" s="21"/>
      <x:c r="D144" s="21"/>
      <x:c r="E144" s="21"/>
      <x:c r="F144" s="21"/>
      <x:c r="G144" s="21"/>
      <x:c r="H144" s="28"/>
      <x:c r="I144" s="28"/>
      <x:c r="J144" s="28"/>
      <x:c r="K144" s="28"/>
      <x:c r="L144" s="28"/>
      <x:c r="M144" s="28"/>
      <x:c r="N144" s="29" t="str">
        <x:f>IF(A144="","",IF(AND(COUNT(H144:M144)=Start!$B$12,MIN(H144:M144)&gt;=0,MAX(H144:M144)&lt;=Start!$B$11),SUM(H144:M144),""))</x:f>
      </x:c>
      <x:c r="O144" s="21"/>
      <x:c r="P144" s="21"/>
      <x:c r="Q144" s="21"/>
      <x:c r="R144" s="21"/>
      <x:c r="S144" s="21"/>
      <x:c r="T144" s="21"/>
      <x:c r="U144" s="26" t="str">
        <x:f>IF(A144="","",IF(AND(R144="LIVE",G144="Adjudicated",ISNUMBER(N144),B144&lt;&gt;"",C144&lt;&gt;"",D144&lt;&gt;"",E144&lt;&gt;"",F144&lt;&gt;"",O144&lt;&gt;"",P144&lt;&gt;"",Q144&lt;&gt;"",S144&lt;&gt;""),"ELIGIBLE","EXCLUDED"))</x:f>
      </x:c>
    </x:row>
    <x:row r="145" ht="32" customHeight="1">
      <x:c r="A145" s="21"/>
      <x:c r="B145" s="21"/>
      <x:c r="C145" s="21"/>
      <x:c r="D145" s="21"/>
      <x:c r="E145" s="21"/>
      <x:c r="F145" s="21"/>
      <x:c r="G145" s="21"/>
      <x:c r="H145" s="28"/>
      <x:c r="I145" s="28"/>
      <x:c r="J145" s="28"/>
      <x:c r="K145" s="28"/>
      <x:c r="L145" s="28"/>
      <x:c r="M145" s="28"/>
      <x:c r="N145" s="29" t="str">
        <x:f>IF(A145="","",IF(AND(COUNT(H145:M145)=Start!$B$12,MIN(H145:M145)&gt;=0,MAX(H145:M145)&lt;=Start!$B$11),SUM(H145:M145),""))</x:f>
      </x:c>
      <x:c r="O145" s="21"/>
      <x:c r="P145" s="21"/>
      <x:c r="Q145" s="21"/>
      <x:c r="R145" s="21"/>
      <x:c r="S145" s="21"/>
      <x:c r="T145" s="21"/>
      <x:c r="U145" s="26" t="str">
        <x:f>IF(A145="","",IF(AND(R145="LIVE",G145="Adjudicated",ISNUMBER(N145),B145&lt;&gt;"",C145&lt;&gt;"",D145&lt;&gt;"",E145&lt;&gt;"",F145&lt;&gt;"",O145&lt;&gt;"",P145&lt;&gt;"",Q145&lt;&gt;"",S145&lt;&gt;""),"ELIGIBLE","EXCLUDED"))</x:f>
      </x:c>
    </x:row>
    <x:row r="146" ht="32" customHeight="1">
      <x:c r="A146" s="21"/>
      <x:c r="B146" s="21"/>
      <x:c r="C146" s="21"/>
      <x:c r="D146" s="21"/>
      <x:c r="E146" s="21"/>
      <x:c r="F146" s="21"/>
      <x:c r="G146" s="21"/>
      <x:c r="H146" s="28"/>
      <x:c r="I146" s="28"/>
      <x:c r="J146" s="28"/>
      <x:c r="K146" s="28"/>
      <x:c r="L146" s="28"/>
      <x:c r="M146" s="28"/>
      <x:c r="N146" s="29" t="str">
        <x:f>IF(A146="","",IF(AND(COUNT(H146:M146)=Start!$B$12,MIN(H146:M146)&gt;=0,MAX(H146:M146)&lt;=Start!$B$11),SUM(H146:M146),""))</x:f>
      </x:c>
      <x:c r="O146" s="21"/>
      <x:c r="P146" s="21"/>
      <x:c r="Q146" s="21"/>
      <x:c r="R146" s="21"/>
      <x:c r="S146" s="21"/>
      <x:c r="T146" s="21"/>
      <x:c r="U146" s="26" t="str">
        <x:f>IF(A146="","",IF(AND(R146="LIVE",G146="Adjudicated",ISNUMBER(N146),B146&lt;&gt;"",C146&lt;&gt;"",D146&lt;&gt;"",E146&lt;&gt;"",F146&lt;&gt;"",O146&lt;&gt;"",P146&lt;&gt;"",Q146&lt;&gt;"",S146&lt;&gt;""),"ELIGIBLE","EXCLUDED"))</x:f>
      </x:c>
    </x:row>
    <x:row r="147" ht="32" customHeight="1">
      <x:c r="A147" s="21"/>
      <x:c r="B147" s="21"/>
      <x:c r="C147" s="21"/>
      <x:c r="D147" s="21"/>
      <x:c r="E147" s="21"/>
      <x:c r="F147" s="21"/>
      <x:c r="G147" s="21"/>
      <x:c r="H147" s="28"/>
      <x:c r="I147" s="28"/>
      <x:c r="J147" s="28"/>
      <x:c r="K147" s="28"/>
      <x:c r="L147" s="28"/>
      <x:c r="M147" s="28"/>
      <x:c r="N147" s="29" t="str">
        <x:f>IF(A147="","",IF(AND(COUNT(H147:M147)=Start!$B$12,MIN(H147:M147)&gt;=0,MAX(H147:M147)&lt;=Start!$B$11),SUM(H147:M147),""))</x:f>
      </x:c>
      <x:c r="O147" s="21"/>
      <x:c r="P147" s="21"/>
      <x:c r="Q147" s="21"/>
      <x:c r="R147" s="21"/>
      <x:c r="S147" s="21"/>
      <x:c r="T147" s="21"/>
      <x:c r="U147" s="26" t="str">
        <x:f>IF(A147="","",IF(AND(R147="LIVE",G147="Adjudicated",ISNUMBER(N147),B147&lt;&gt;"",C147&lt;&gt;"",D147&lt;&gt;"",E147&lt;&gt;"",F147&lt;&gt;"",O147&lt;&gt;"",P147&lt;&gt;"",Q147&lt;&gt;"",S147&lt;&gt;""),"ELIGIBLE","EXCLUDED"))</x:f>
      </x:c>
    </x:row>
    <x:row r="148" ht="32" customHeight="1">
      <x:c r="A148" s="21"/>
      <x:c r="B148" s="21"/>
      <x:c r="C148" s="21"/>
      <x:c r="D148" s="21"/>
      <x:c r="E148" s="21"/>
      <x:c r="F148" s="21"/>
      <x:c r="G148" s="21"/>
      <x:c r="H148" s="28"/>
      <x:c r="I148" s="28"/>
      <x:c r="J148" s="28"/>
      <x:c r="K148" s="28"/>
      <x:c r="L148" s="28"/>
      <x:c r="M148" s="28"/>
      <x:c r="N148" s="29" t="str">
        <x:f>IF(A148="","",IF(AND(COUNT(H148:M148)=Start!$B$12,MIN(H148:M148)&gt;=0,MAX(H148:M148)&lt;=Start!$B$11),SUM(H148:M148),""))</x:f>
      </x:c>
      <x:c r="O148" s="21"/>
      <x:c r="P148" s="21"/>
      <x:c r="Q148" s="21"/>
      <x:c r="R148" s="21"/>
      <x:c r="S148" s="21"/>
      <x:c r="T148" s="21"/>
      <x:c r="U148" s="26" t="str">
        <x:f>IF(A148="","",IF(AND(R148="LIVE",G148="Adjudicated",ISNUMBER(N148),B148&lt;&gt;"",C148&lt;&gt;"",D148&lt;&gt;"",E148&lt;&gt;"",F148&lt;&gt;"",O148&lt;&gt;"",P148&lt;&gt;"",Q148&lt;&gt;"",S148&lt;&gt;""),"ELIGIBLE","EXCLUDED"))</x:f>
      </x:c>
    </x:row>
    <x:row r="149" ht="32" customHeight="1">
      <x:c r="A149" s="21"/>
      <x:c r="B149" s="21"/>
      <x:c r="C149" s="21"/>
      <x:c r="D149" s="21"/>
      <x:c r="E149" s="21"/>
      <x:c r="F149" s="21"/>
      <x:c r="G149" s="21"/>
      <x:c r="H149" s="28"/>
      <x:c r="I149" s="28"/>
      <x:c r="J149" s="28"/>
      <x:c r="K149" s="28"/>
      <x:c r="L149" s="28"/>
      <x:c r="M149" s="28"/>
      <x:c r="N149" s="29" t="str">
        <x:f>IF(A149="","",IF(AND(COUNT(H149:M149)=Start!$B$12,MIN(H149:M149)&gt;=0,MAX(H149:M149)&lt;=Start!$B$11),SUM(H149:M149),""))</x:f>
      </x:c>
      <x:c r="O149" s="21"/>
      <x:c r="P149" s="21"/>
      <x:c r="Q149" s="21"/>
      <x:c r="R149" s="21"/>
      <x:c r="S149" s="21"/>
      <x:c r="T149" s="21"/>
      <x:c r="U149" s="26" t="str">
        <x:f>IF(A149="","",IF(AND(R149="LIVE",G149="Adjudicated",ISNUMBER(N149),B149&lt;&gt;"",C149&lt;&gt;"",D149&lt;&gt;"",E149&lt;&gt;"",F149&lt;&gt;"",O149&lt;&gt;"",P149&lt;&gt;"",Q149&lt;&gt;"",S149&lt;&gt;""),"ELIGIBLE","EXCLUDED"))</x:f>
      </x:c>
    </x:row>
    <x:row r="150" ht="32" customHeight="1">
      <x:c r="A150" s="21"/>
      <x:c r="B150" s="21"/>
      <x:c r="C150" s="21"/>
      <x:c r="D150" s="21"/>
      <x:c r="E150" s="21"/>
      <x:c r="F150" s="21"/>
      <x:c r="G150" s="21"/>
      <x:c r="H150" s="28"/>
      <x:c r="I150" s="28"/>
      <x:c r="J150" s="28"/>
      <x:c r="K150" s="28"/>
      <x:c r="L150" s="28"/>
      <x:c r="M150" s="28"/>
      <x:c r="N150" s="29" t="str">
        <x:f>IF(A150="","",IF(AND(COUNT(H150:M150)=Start!$B$12,MIN(H150:M150)&gt;=0,MAX(H150:M150)&lt;=Start!$B$11),SUM(H150:M150),""))</x:f>
      </x:c>
      <x:c r="O150" s="21"/>
      <x:c r="P150" s="21"/>
      <x:c r="Q150" s="21"/>
      <x:c r="R150" s="21"/>
      <x:c r="S150" s="21"/>
      <x:c r="T150" s="21"/>
      <x:c r="U150" s="26" t="str">
        <x:f>IF(A150="","",IF(AND(R150="LIVE",G150="Adjudicated",ISNUMBER(N150),B150&lt;&gt;"",C150&lt;&gt;"",D150&lt;&gt;"",E150&lt;&gt;"",F150&lt;&gt;"",O150&lt;&gt;"",P150&lt;&gt;"",Q150&lt;&gt;"",S150&lt;&gt;""),"ELIGIBLE","EXCLUDED"))</x:f>
      </x:c>
    </x:row>
    <x:row r="151" ht="32" customHeight="1">
      <x:c r="A151" s="21"/>
      <x:c r="B151" s="21"/>
      <x:c r="C151" s="21"/>
      <x:c r="D151" s="21"/>
      <x:c r="E151" s="21"/>
      <x:c r="F151" s="21"/>
      <x:c r="G151" s="21"/>
      <x:c r="H151" s="28"/>
      <x:c r="I151" s="28"/>
      <x:c r="J151" s="28"/>
      <x:c r="K151" s="28"/>
      <x:c r="L151" s="28"/>
      <x:c r="M151" s="28"/>
      <x:c r="N151" s="29" t="str">
        <x:f>IF(A151="","",IF(AND(COUNT(H151:M151)=Start!$B$12,MIN(H151:M151)&gt;=0,MAX(H151:M151)&lt;=Start!$B$11),SUM(H151:M151),""))</x:f>
      </x:c>
      <x:c r="O151" s="21"/>
      <x:c r="P151" s="21"/>
      <x:c r="Q151" s="21"/>
      <x:c r="R151" s="21"/>
      <x:c r="S151" s="21"/>
      <x:c r="T151" s="21"/>
      <x:c r="U151" s="26" t="str">
        <x:f>IF(A151="","",IF(AND(R151="LIVE",G151="Adjudicated",ISNUMBER(N151),B151&lt;&gt;"",C151&lt;&gt;"",D151&lt;&gt;"",E151&lt;&gt;"",F151&lt;&gt;"",O151&lt;&gt;"",P151&lt;&gt;"",Q151&lt;&gt;"",S151&lt;&gt;""),"ELIGIBLE","EXCLUDED"))</x:f>
      </x:c>
    </x:row>
    <x:row r="152" ht="32" customHeight="1">
      <x:c r="A152" s="21"/>
      <x:c r="B152" s="21"/>
      <x:c r="C152" s="21"/>
      <x:c r="D152" s="21"/>
      <x:c r="E152" s="21"/>
      <x:c r="F152" s="21"/>
      <x:c r="G152" s="21"/>
      <x:c r="H152" s="28"/>
      <x:c r="I152" s="28"/>
      <x:c r="J152" s="28"/>
      <x:c r="K152" s="28"/>
      <x:c r="L152" s="28"/>
      <x:c r="M152" s="28"/>
      <x:c r="N152" s="29" t="str">
        <x:f>IF(A152="","",IF(AND(COUNT(H152:M152)=Start!$B$12,MIN(H152:M152)&gt;=0,MAX(H152:M152)&lt;=Start!$B$11),SUM(H152:M152),""))</x:f>
      </x:c>
      <x:c r="O152" s="21"/>
      <x:c r="P152" s="21"/>
      <x:c r="Q152" s="21"/>
      <x:c r="R152" s="21"/>
      <x:c r="S152" s="21"/>
      <x:c r="T152" s="21"/>
      <x:c r="U152" s="26" t="str">
        <x:f>IF(A152="","",IF(AND(R152="LIVE",G152="Adjudicated",ISNUMBER(N152),B152&lt;&gt;"",C152&lt;&gt;"",D152&lt;&gt;"",E152&lt;&gt;"",F152&lt;&gt;"",O152&lt;&gt;"",P152&lt;&gt;"",Q152&lt;&gt;"",S152&lt;&gt;""),"ELIGIBLE","EXCLUDED"))</x:f>
      </x:c>
    </x:row>
    <x:row r="153" ht="32" customHeight="1">
      <x:c r="A153" s="21"/>
      <x:c r="B153" s="21"/>
      <x:c r="C153" s="21"/>
      <x:c r="D153" s="21"/>
      <x:c r="E153" s="21"/>
      <x:c r="F153" s="21"/>
      <x:c r="G153" s="21"/>
      <x:c r="H153" s="28"/>
      <x:c r="I153" s="28"/>
      <x:c r="J153" s="28"/>
      <x:c r="K153" s="28"/>
      <x:c r="L153" s="28"/>
      <x:c r="M153" s="28"/>
      <x:c r="N153" s="29" t="str">
        <x:f>IF(A153="","",IF(AND(COUNT(H153:M153)=Start!$B$12,MIN(H153:M153)&gt;=0,MAX(H153:M153)&lt;=Start!$B$11),SUM(H153:M153),""))</x:f>
      </x:c>
      <x:c r="O153" s="21"/>
      <x:c r="P153" s="21"/>
      <x:c r="Q153" s="21"/>
      <x:c r="R153" s="21"/>
      <x:c r="S153" s="21"/>
      <x:c r="T153" s="21"/>
      <x:c r="U153" s="26" t="str">
        <x:f>IF(A153="","",IF(AND(R153="LIVE",G153="Adjudicated",ISNUMBER(N153),B153&lt;&gt;"",C153&lt;&gt;"",D153&lt;&gt;"",E153&lt;&gt;"",F153&lt;&gt;"",O153&lt;&gt;"",P153&lt;&gt;"",Q153&lt;&gt;"",S153&lt;&gt;""),"ELIGIBLE","EXCLUDED"))</x:f>
      </x:c>
    </x:row>
    <x:row r="154" ht="32" customHeight="1">
      <x:c r="A154" s="21"/>
      <x:c r="B154" s="21"/>
      <x:c r="C154" s="21"/>
      <x:c r="D154" s="21"/>
      <x:c r="E154" s="21"/>
      <x:c r="F154" s="21"/>
      <x:c r="G154" s="21"/>
      <x:c r="H154" s="28"/>
      <x:c r="I154" s="28"/>
      <x:c r="J154" s="28"/>
      <x:c r="K154" s="28"/>
      <x:c r="L154" s="28"/>
      <x:c r="M154" s="28"/>
      <x:c r="N154" s="29" t="str">
        <x:f>IF(A154="","",IF(AND(COUNT(H154:M154)=Start!$B$12,MIN(H154:M154)&gt;=0,MAX(H154:M154)&lt;=Start!$B$11),SUM(H154:M154),""))</x:f>
      </x:c>
      <x:c r="O154" s="21"/>
      <x:c r="P154" s="21"/>
      <x:c r="Q154" s="21"/>
      <x:c r="R154" s="21"/>
      <x:c r="S154" s="21"/>
      <x:c r="T154" s="21"/>
      <x:c r="U154" s="26" t="str">
        <x:f>IF(A154="","",IF(AND(R154="LIVE",G154="Adjudicated",ISNUMBER(N154),B154&lt;&gt;"",C154&lt;&gt;"",D154&lt;&gt;"",E154&lt;&gt;"",F154&lt;&gt;"",O154&lt;&gt;"",P154&lt;&gt;"",Q154&lt;&gt;"",S154&lt;&gt;""),"ELIGIBLE","EXCLUDED"))</x:f>
      </x:c>
    </x:row>
    <x:row r="155" ht="32" customHeight="1">
      <x:c r="A155" s="21"/>
      <x:c r="B155" s="21"/>
      <x:c r="C155" s="21"/>
      <x:c r="D155" s="21"/>
      <x:c r="E155" s="21"/>
      <x:c r="F155" s="21"/>
      <x:c r="G155" s="21"/>
      <x:c r="H155" s="28"/>
      <x:c r="I155" s="28"/>
      <x:c r="J155" s="28"/>
      <x:c r="K155" s="28"/>
      <x:c r="L155" s="28"/>
      <x:c r="M155" s="28"/>
      <x:c r="N155" s="29" t="str">
        <x:f>IF(A155="","",IF(AND(COUNT(H155:M155)=Start!$B$12,MIN(H155:M155)&gt;=0,MAX(H155:M155)&lt;=Start!$B$11),SUM(H155:M155),""))</x:f>
      </x:c>
      <x:c r="O155" s="21"/>
      <x:c r="P155" s="21"/>
      <x:c r="Q155" s="21"/>
      <x:c r="R155" s="21"/>
      <x:c r="S155" s="21"/>
      <x:c r="T155" s="21"/>
      <x:c r="U155" s="26" t="str">
        <x:f>IF(A155="","",IF(AND(R155="LIVE",G155="Adjudicated",ISNUMBER(N155),B155&lt;&gt;"",C155&lt;&gt;"",D155&lt;&gt;"",E155&lt;&gt;"",F155&lt;&gt;"",O155&lt;&gt;"",P155&lt;&gt;"",Q155&lt;&gt;"",S155&lt;&gt;""),"ELIGIBLE","EXCLUDED"))</x:f>
      </x:c>
    </x:row>
    <x:row r="156" ht="32" customHeight="1">
      <x:c r="A156" s="21"/>
      <x:c r="B156" s="21"/>
      <x:c r="C156" s="21"/>
      <x:c r="D156" s="21"/>
      <x:c r="E156" s="21"/>
      <x:c r="F156" s="21"/>
      <x:c r="G156" s="21"/>
      <x:c r="H156" s="28"/>
      <x:c r="I156" s="28"/>
      <x:c r="J156" s="28"/>
      <x:c r="K156" s="28"/>
      <x:c r="L156" s="28"/>
      <x:c r="M156" s="28"/>
      <x:c r="N156" s="29" t="str">
        <x:f>IF(A156="","",IF(AND(COUNT(H156:M156)=Start!$B$12,MIN(H156:M156)&gt;=0,MAX(H156:M156)&lt;=Start!$B$11),SUM(H156:M156),""))</x:f>
      </x:c>
      <x:c r="O156" s="21"/>
      <x:c r="P156" s="21"/>
      <x:c r="Q156" s="21"/>
      <x:c r="R156" s="21"/>
      <x:c r="S156" s="21"/>
      <x:c r="T156" s="21"/>
      <x:c r="U156" s="26" t="str">
        <x:f>IF(A156="","",IF(AND(R156="LIVE",G156="Adjudicated",ISNUMBER(N156),B156&lt;&gt;"",C156&lt;&gt;"",D156&lt;&gt;"",E156&lt;&gt;"",F156&lt;&gt;"",O156&lt;&gt;"",P156&lt;&gt;"",Q156&lt;&gt;"",S156&lt;&gt;""),"ELIGIBLE","EXCLUDED"))</x:f>
      </x:c>
    </x:row>
    <x:row r="157" ht="32" customHeight="1">
      <x:c r="A157" s="21"/>
      <x:c r="B157" s="21"/>
      <x:c r="C157" s="21"/>
      <x:c r="D157" s="21"/>
      <x:c r="E157" s="21"/>
      <x:c r="F157" s="21"/>
      <x:c r="G157" s="21"/>
      <x:c r="H157" s="28"/>
      <x:c r="I157" s="28"/>
      <x:c r="J157" s="28"/>
      <x:c r="K157" s="28"/>
      <x:c r="L157" s="28"/>
      <x:c r="M157" s="28"/>
      <x:c r="N157" s="29" t="str">
        <x:f>IF(A157="","",IF(AND(COUNT(H157:M157)=Start!$B$12,MIN(H157:M157)&gt;=0,MAX(H157:M157)&lt;=Start!$B$11),SUM(H157:M157),""))</x:f>
      </x:c>
      <x:c r="O157" s="21"/>
      <x:c r="P157" s="21"/>
      <x:c r="Q157" s="21"/>
      <x:c r="R157" s="21"/>
      <x:c r="S157" s="21"/>
      <x:c r="T157" s="21"/>
      <x:c r="U157" s="26" t="str">
        <x:f>IF(A157="","",IF(AND(R157="LIVE",G157="Adjudicated",ISNUMBER(N157),B157&lt;&gt;"",C157&lt;&gt;"",D157&lt;&gt;"",E157&lt;&gt;"",F157&lt;&gt;"",O157&lt;&gt;"",P157&lt;&gt;"",Q157&lt;&gt;"",S157&lt;&gt;""),"ELIGIBLE","EXCLUDED"))</x:f>
      </x:c>
    </x:row>
    <x:row r="158" ht="32" customHeight="1">
      <x:c r="A158" s="21"/>
      <x:c r="B158" s="21"/>
      <x:c r="C158" s="21"/>
      <x:c r="D158" s="21"/>
      <x:c r="E158" s="21"/>
      <x:c r="F158" s="21"/>
      <x:c r="G158" s="21"/>
      <x:c r="H158" s="28"/>
      <x:c r="I158" s="28"/>
      <x:c r="J158" s="28"/>
      <x:c r="K158" s="28"/>
      <x:c r="L158" s="28"/>
      <x:c r="M158" s="28"/>
      <x:c r="N158" s="29" t="str">
        <x:f>IF(A158="","",IF(AND(COUNT(H158:M158)=Start!$B$12,MIN(H158:M158)&gt;=0,MAX(H158:M158)&lt;=Start!$B$11),SUM(H158:M158),""))</x:f>
      </x:c>
      <x:c r="O158" s="21"/>
      <x:c r="P158" s="21"/>
      <x:c r="Q158" s="21"/>
      <x:c r="R158" s="21"/>
      <x:c r="S158" s="21"/>
      <x:c r="T158" s="21"/>
      <x:c r="U158" s="26" t="str">
        <x:f>IF(A158="","",IF(AND(R158="LIVE",G158="Adjudicated",ISNUMBER(N158),B158&lt;&gt;"",C158&lt;&gt;"",D158&lt;&gt;"",E158&lt;&gt;"",F158&lt;&gt;"",O158&lt;&gt;"",P158&lt;&gt;"",Q158&lt;&gt;"",S158&lt;&gt;""),"ELIGIBLE","EXCLUDED"))</x:f>
      </x:c>
    </x:row>
    <x:row r="159" ht="32" customHeight="1">
      <x:c r="A159" s="21"/>
      <x:c r="B159" s="21"/>
      <x:c r="C159" s="21"/>
      <x:c r="D159" s="21"/>
      <x:c r="E159" s="21"/>
      <x:c r="F159" s="21"/>
      <x:c r="G159" s="21"/>
      <x:c r="H159" s="28"/>
      <x:c r="I159" s="28"/>
      <x:c r="J159" s="28"/>
      <x:c r="K159" s="28"/>
      <x:c r="L159" s="28"/>
      <x:c r="M159" s="28"/>
      <x:c r="N159" s="29" t="str">
        <x:f>IF(A159="","",IF(AND(COUNT(H159:M159)=Start!$B$12,MIN(H159:M159)&gt;=0,MAX(H159:M159)&lt;=Start!$B$11),SUM(H159:M159),""))</x:f>
      </x:c>
      <x:c r="O159" s="21"/>
      <x:c r="P159" s="21"/>
      <x:c r="Q159" s="21"/>
      <x:c r="R159" s="21"/>
      <x:c r="S159" s="21"/>
      <x:c r="T159" s="21"/>
      <x:c r="U159" s="26" t="str">
        <x:f>IF(A159="","",IF(AND(R159="LIVE",G159="Adjudicated",ISNUMBER(N159),B159&lt;&gt;"",C159&lt;&gt;"",D159&lt;&gt;"",E159&lt;&gt;"",F159&lt;&gt;"",O159&lt;&gt;"",P159&lt;&gt;"",Q159&lt;&gt;"",S159&lt;&gt;""),"ELIGIBLE","EXCLUDED"))</x:f>
      </x:c>
    </x:row>
    <x:row r="160" ht="32" customHeight="1">
      <x:c r="A160" s="21"/>
      <x:c r="B160" s="21"/>
      <x:c r="C160" s="21"/>
      <x:c r="D160" s="21"/>
      <x:c r="E160" s="21"/>
      <x:c r="F160" s="21"/>
      <x:c r="G160" s="21"/>
      <x:c r="H160" s="28"/>
      <x:c r="I160" s="28"/>
      <x:c r="J160" s="28"/>
      <x:c r="K160" s="28"/>
      <x:c r="L160" s="28"/>
      <x:c r="M160" s="28"/>
      <x:c r="N160" s="29" t="str">
        <x:f>IF(A160="","",IF(AND(COUNT(H160:M160)=Start!$B$12,MIN(H160:M160)&gt;=0,MAX(H160:M160)&lt;=Start!$B$11),SUM(H160:M160),""))</x:f>
      </x:c>
      <x:c r="O160" s="21"/>
      <x:c r="P160" s="21"/>
      <x:c r="Q160" s="21"/>
      <x:c r="R160" s="21"/>
      <x:c r="S160" s="21"/>
      <x:c r="T160" s="21"/>
      <x:c r="U160" s="26" t="str">
        <x:f>IF(A160="","",IF(AND(R160="LIVE",G160="Adjudicated",ISNUMBER(N160),B160&lt;&gt;"",C160&lt;&gt;"",D160&lt;&gt;"",E160&lt;&gt;"",F160&lt;&gt;"",O160&lt;&gt;"",P160&lt;&gt;"",Q160&lt;&gt;"",S160&lt;&gt;""),"ELIGIBLE","EXCLUDED"))</x:f>
      </x:c>
    </x:row>
    <x:row r="161" ht="32" customHeight="1">
      <x:c r="A161" s="21"/>
      <x:c r="B161" s="21"/>
      <x:c r="C161" s="21"/>
      <x:c r="D161" s="21"/>
      <x:c r="E161" s="21"/>
      <x:c r="F161" s="21"/>
      <x:c r="G161" s="21"/>
      <x:c r="H161" s="28"/>
      <x:c r="I161" s="28"/>
      <x:c r="J161" s="28"/>
      <x:c r="K161" s="28"/>
      <x:c r="L161" s="28"/>
      <x:c r="M161" s="28"/>
      <x:c r="N161" s="29" t="str">
        <x:f>IF(A161="","",IF(AND(COUNT(H161:M161)=Start!$B$12,MIN(H161:M161)&gt;=0,MAX(H161:M161)&lt;=Start!$B$11),SUM(H161:M161),""))</x:f>
      </x:c>
      <x:c r="O161" s="21"/>
      <x:c r="P161" s="21"/>
      <x:c r="Q161" s="21"/>
      <x:c r="R161" s="21"/>
      <x:c r="S161" s="21"/>
      <x:c r="T161" s="21"/>
      <x:c r="U161" s="26" t="str">
        <x:f>IF(A161="","",IF(AND(R161="LIVE",G161="Adjudicated",ISNUMBER(N161),B161&lt;&gt;"",C161&lt;&gt;"",D161&lt;&gt;"",E161&lt;&gt;"",F161&lt;&gt;"",O161&lt;&gt;"",P161&lt;&gt;"",Q161&lt;&gt;"",S161&lt;&gt;""),"ELIGIBLE","EXCLUDED"))</x:f>
      </x:c>
    </x:row>
    <x:row r="162" ht="32" customHeight="1">
      <x:c r="A162" s="21"/>
      <x:c r="B162" s="21"/>
      <x:c r="C162" s="21"/>
      <x:c r="D162" s="21"/>
      <x:c r="E162" s="21"/>
      <x:c r="F162" s="21"/>
      <x:c r="G162" s="21"/>
      <x:c r="H162" s="28"/>
      <x:c r="I162" s="28"/>
      <x:c r="J162" s="28"/>
      <x:c r="K162" s="28"/>
      <x:c r="L162" s="28"/>
      <x:c r="M162" s="28"/>
      <x:c r="N162" s="29" t="str">
        <x:f>IF(A162="","",IF(AND(COUNT(H162:M162)=Start!$B$12,MIN(H162:M162)&gt;=0,MAX(H162:M162)&lt;=Start!$B$11),SUM(H162:M162),""))</x:f>
      </x:c>
      <x:c r="O162" s="21"/>
      <x:c r="P162" s="21"/>
      <x:c r="Q162" s="21"/>
      <x:c r="R162" s="21"/>
      <x:c r="S162" s="21"/>
      <x:c r="T162" s="21"/>
      <x:c r="U162" s="26" t="str">
        <x:f>IF(A162="","",IF(AND(R162="LIVE",G162="Adjudicated",ISNUMBER(N162),B162&lt;&gt;"",C162&lt;&gt;"",D162&lt;&gt;"",E162&lt;&gt;"",F162&lt;&gt;"",O162&lt;&gt;"",P162&lt;&gt;"",Q162&lt;&gt;"",S162&lt;&gt;""),"ELIGIBLE","EXCLUDED"))</x:f>
      </x:c>
    </x:row>
    <x:row r="163" ht="32" customHeight="1">
      <x:c r="A163" s="21"/>
      <x:c r="B163" s="21"/>
      <x:c r="C163" s="21"/>
      <x:c r="D163" s="21"/>
      <x:c r="E163" s="21"/>
      <x:c r="F163" s="21"/>
      <x:c r="G163" s="21"/>
      <x:c r="H163" s="28"/>
      <x:c r="I163" s="28"/>
      <x:c r="J163" s="28"/>
      <x:c r="K163" s="28"/>
      <x:c r="L163" s="28"/>
      <x:c r="M163" s="28"/>
      <x:c r="N163" s="29" t="str">
        <x:f>IF(A163="","",IF(AND(COUNT(H163:M163)=Start!$B$12,MIN(H163:M163)&gt;=0,MAX(H163:M163)&lt;=Start!$B$11),SUM(H163:M163),""))</x:f>
      </x:c>
      <x:c r="O163" s="21"/>
      <x:c r="P163" s="21"/>
      <x:c r="Q163" s="21"/>
      <x:c r="R163" s="21"/>
      <x:c r="S163" s="21"/>
      <x:c r="T163" s="21"/>
      <x:c r="U163" s="26" t="str">
        <x:f>IF(A163="","",IF(AND(R163="LIVE",G163="Adjudicated",ISNUMBER(N163),B163&lt;&gt;"",C163&lt;&gt;"",D163&lt;&gt;"",E163&lt;&gt;"",F163&lt;&gt;"",O163&lt;&gt;"",P163&lt;&gt;"",Q163&lt;&gt;"",S163&lt;&gt;""),"ELIGIBLE","EXCLUDED"))</x:f>
      </x:c>
    </x:row>
    <x:row r="164" ht="32" customHeight="1">
      <x:c r="A164" s="21"/>
      <x:c r="B164" s="21"/>
      <x:c r="C164" s="21"/>
      <x:c r="D164" s="21"/>
      <x:c r="E164" s="21"/>
      <x:c r="F164" s="21"/>
      <x:c r="G164" s="21"/>
      <x:c r="H164" s="28"/>
      <x:c r="I164" s="28"/>
      <x:c r="J164" s="28"/>
      <x:c r="K164" s="28"/>
      <x:c r="L164" s="28"/>
      <x:c r="M164" s="28"/>
      <x:c r="N164" s="29" t="str">
        <x:f>IF(A164="","",IF(AND(COUNT(H164:M164)=Start!$B$12,MIN(H164:M164)&gt;=0,MAX(H164:M164)&lt;=Start!$B$11),SUM(H164:M164),""))</x:f>
      </x:c>
      <x:c r="O164" s="21"/>
      <x:c r="P164" s="21"/>
      <x:c r="Q164" s="21"/>
      <x:c r="R164" s="21"/>
      <x:c r="S164" s="21"/>
      <x:c r="T164" s="21"/>
      <x:c r="U164" s="26" t="str">
        <x:f>IF(A164="","",IF(AND(R164="LIVE",G164="Adjudicated",ISNUMBER(N164),B164&lt;&gt;"",C164&lt;&gt;"",D164&lt;&gt;"",E164&lt;&gt;"",F164&lt;&gt;"",O164&lt;&gt;"",P164&lt;&gt;"",Q164&lt;&gt;"",S164&lt;&gt;""),"ELIGIBLE","EXCLUDED"))</x:f>
      </x:c>
    </x:row>
    <x:row r="165" ht="32" customHeight="1">
      <x:c r="A165" s="21"/>
      <x:c r="B165" s="21"/>
      <x:c r="C165" s="21"/>
      <x:c r="D165" s="21"/>
      <x:c r="E165" s="21"/>
      <x:c r="F165" s="21"/>
      <x:c r="G165" s="21"/>
      <x:c r="H165" s="28"/>
      <x:c r="I165" s="28"/>
      <x:c r="J165" s="28"/>
      <x:c r="K165" s="28"/>
      <x:c r="L165" s="28"/>
      <x:c r="M165" s="28"/>
      <x:c r="N165" s="29" t="str">
        <x:f>IF(A165="","",IF(AND(COUNT(H165:M165)=Start!$B$12,MIN(H165:M165)&gt;=0,MAX(H165:M165)&lt;=Start!$B$11),SUM(H165:M165),""))</x:f>
      </x:c>
      <x:c r="O165" s="21"/>
      <x:c r="P165" s="21"/>
      <x:c r="Q165" s="21"/>
      <x:c r="R165" s="21"/>
      <x:c r="S165" s="21"/>
      <x:c r="T165" s="21"/>
      <x:c r="U165" s="26" t="str">
        <x:f>IF(A165="","",IF(AND(R165="LIVE",G165="Adjudicated",ISNUMBER(N165),B165&lt;&gt;"",C165&lt;&gt;"",D165&lt;&gt;"",E165&lt;&gt;"",F165&lt;&gt;"",O165&lt;&gt;"",P165&lt;&gt;"",Q165&lt;&gt;"",S165&lt;&gt;""),"ELIGIBLE","EXCLUDED"))</x:f>
      </x:c>
    </x:row>
    <x:row r="166" ht="32" customHeight="1">
      <x:c r="A166" s="21"/>
      <x:c r="B166" s="21"/>
      <x:c r="C166" s="21"/>
      <x:c r="D166" s="21"/>
      <x:c r="E166" s="21"/>
      <x:c r="F166" s="21"/>
      <x:c r="G166" s="21"/>
      <x:c r="H166" s="28"/>
      <x:c r="I166" s="28"/>
      <x:c r="J166" s="28"/>
      <x:c r="K166" s="28"/>
      <x:c r="L166" s="28"/>
      <x:c r="M166" s="28"/>
      <x:c r="N166" s="29" t="str">
        <x:f>IF(A166="","",IF(AND(COUNT(H166:M166)=Start!$B$12,MIN(H166:M166)&gt;=0,MAX(H166:M166)&lt;=Start!$B$11),SUM(H166:M166),""))</x:f>
      </x:c>
      <x:c r="O166" s="21"/>
      <x:c r="P166" s="21"/>
      <x:c r="Q166" s="21"/>
      <x:c r="R166" s="21"/>
      <x:c r="S166" s="21"/>
      <x:c r="T166" s="21"/>
      <x:c r="U166" s="26" t="str">
        <x:f>IF(A166="","",IF(AND(R166="LIVE",G166="Adjudicated",ISNUMBER(N166),B166&lt;&gt;"",C166&lt;&gt;"",D166&lt;&gt;"",E166&lt;&gt;"",F166&lt;&gt;"",O166&lt;&gt;"",P166&lt;&gt;"",Q166&lt;&gt;"",S166&lt;&gt;""),"ELIGIBLE","EXCLUDED"))</x:f>
      </x:c>
    </x:row>
    <x:row r="167" ht="32" customHeight="1">
      <x:c r="A167" s="21"/>
      <x:c r="B167" s="21"/>
      <x:c r="C167" s="21"/>
      <x:c r="D167" s="21"/>
      <x:c r="E167" s="21"/>
      <x:c r="F167" s="21"/>
      <x:c r="G167" s="21"/>
      <x:c r="H167" s="28"/>
      <x:c r="I167" s="28"/>
      <x:c r="J167" s="28"/>
      <x:c r="K167" s="28"/>
      <x:c r="L167" s="28"/>
      <x:c r="M167" s="28"/>
      <x:c r="N167" s="29" t="str">
        <x:f>IF(A167="","",IF(AND(COUNT(H167:M167)=Start!$B$12,MIN(H167:M167)&gt;=0,MAX(H167:M167)&lt;=Start!$B$11),SUM(H167:M167),""))</x:f>
      </x:c>
      <x:c r="O167" s="21"/>
      <x:c r="P167" s="21"/>
      <x:c r="Q167" s="21"/>
      <x:c r="R167" s="21"/>
      <x:c r="S167" s="21"/>
      <x:c r="T167" s="21"/>
      <x:c r="U167" s="26" t="str">
        <x:f>IF(A167="","",IF(AND(R167="LIVE",G167="Adjudicated",ISNUMBER(N167),B167&lt;&gt;"",C167&lt;&gt;"",D167&lt;&gt;"",E167&lt;&gt;"",F167&lt;&gt;"",O167&lt;&gt;"",P167&lt;&gt;"",Q167&lt;&gt;"",S167&lt;&gt;""),"ELIGIBLE","EXCLUDED"))</x:f>
      </x:c>
    </x:row>
    <x:row r="168" ht="32" customHeight="1">
      <x:c r="A168" s="21"/>
      <x:c r="B168" s="21"/>
      <x:c r="C168" s="21"/>
      <x:c r="D168" s="21"/>
      <x:c r="E168" s="21"/>
      <x:c r="F168" s="21"/>
      <x:c r="G168" s="21"/>
      <x:c r="H168" s="28"/>
      <x:c r="I168" s="28"/>
      <x:c r="J168" s="28"/>
      <x:c r="K168" s="28"/>
      <x:c r="L168" s="28"/>
      <x:c r="M168" s="28"/>
      <x:c r="N168" s="29" t="str">
        <x:f>IF(A168="","",IF(AND(COUNT(H168:M168)=Start!$B$12,MIN(H168:M168)&gt;=0,MAX(H168:M168)&lt;=Start!$B$11),SUM(H168:M168),""))</x:f>
      </x:c>
      <x:c r="O168" s="21"/>
      <x:c r="P168" s="21"/>
      <x:c r="Q168" s="21"/>
      <x:c r="R168" s="21"/>
      <x:c r="S168" s="21"/>
      <x:c r="T168" s="21"/>
      <x:c r="U168" s="26" t="str">
        <x:f>IF(A168="","",IF(AND(R168="LIVE",G168="Adjudicated",ISNUMBER(N168),B168&lt;&gt;"",C168&lt;&gt;"",D168&lt;&gt;"",E168&lt;&gt;"",F168&lt;&gt;"",O168&lt;&gt;"",P168&lt;&gt;"",Q168&lt;&gt;"",S168&lt;&gt;""),"ELIGIBLE","EXCLUDED"))</x:f>
      </x:c>
    </x:row>
    <x:row r="169" ht="32" customHeight="1">
      <x:c r="A169" s="21"/>
      <x:c r="B169" s="21"/>
      <x:c r="C169" s="21"/>
      <x:c r="D169" s="21"/>
      <x:c r="E169" s="21"/>
      <x:c r="F169" s="21"/>
      <x:c r="G169" s="21"/>
      <x:c r="H169" s="28"/>
      <x:c r="I169" s="28"/>
      <x:c r="J169" s="28"/>
      <x:c r="K169" s="28"/>
      <x:c r="L169" s="28"/>
      <x:c r="M169" s="28"/>
      <x:c r="N169" s="29" t="str">
        <x:f>IF(A169="","",IF(AND(COUNT(H169:M169)=Start!$B$12,MIN(H169:M169)&gt;=0,MAX(H169:M169)&lt;=Start!$B$11),SUM(H169:M169),""))</x:f>
      </x:c>
      <x:c r="O169" s="21"/>
      <x:c r="P169" s="21"/>
      <x:c r="Q169" s="21"/>
      <x:c r="R169" s="21"/>
      <x:c r="S169" s="21"/>
      <x:c r="T169" s="21"/>
      <x:c r="U169" s="26" t="str">
        <x:f>IF(A169="","",IF(AND(R169="LIVE",G169="Adjudicated",ISNUMBER(N169),B169&lt;&gt;"",C169&lt;&gt;"",D169&lt;&gt;"",E169&lt;&gt;"",F169&lt;&gt;"",O169&lt;&gt;"",P169&lt;&gt;"",Q169&lt;&gt;"",S169&lt;&gt;""),"ELIGIBLE","EXCLUDED"))</x:f>
      </x:c>
    </x:row>
    <x:row r="170" ht="32" customHeight="1">
      <x:c r="A170" s="21"/>
      <x:c r="B170" s="21"/>
      <x:c r="C170" s="21"/>
      <x:c r="D170" s="21"/>
      <x:c r="E170" s="21"/>
      <x:c r="F170" s="21"/>
      <x:c r="G170" s="21"/>
      <x:c r="H170" s="28"/>
      <x:c r="I170" s="28"/>
      <x:c r="J170" s="28"/>
      <x:c r="K170" s="28"/>
      <x:c r="L170" s="28"/>
      <x:c r="M170" s="28"/>
      <x:c r="N170" s="29" t="str">
        <x:f>IF(A170="","",IF(AND(COUNT(H170:M170)=Start!$B$12,MIN(H170:M170)&gt;=0,MAX(H170:M170)&lt;=Start!$B$11),SUM(H170:M170),""))</x:f>
      </x:c>
      <x:c r="O170" s="21"/>
      <x:c r="P170" s="21"/>
      <x:c r="Q170" s="21"/>
      <x:c r="R170" s="21"/>
      <x:c r="S170" s="21"/>
      <x:c r="T170" s="21"/>
      <x:c r="U170" s="26" t="str">
        <x:f>IF(A170="","",IF(AND(R170="LIVE",G170="Adjudicated",ISNUMBER(N170),B170&lt;&gt;"",C170&lt;&gt;"",D170&lt;&gt;"",E170&lt;&gt;"",F170&lt;&gt;"",O170&lt;&gt;"",P170&lt;&gt;"",Q170&lt;&gt;"",S170&lt;&gt;""),"ELIGIBLE","EXCLUDED"))</x:f>
      </x:c>
    </x:row>
    <x:row r="171" ht="32" customHeight="1">
      <x:c r="A171" s="21"/>
      <x:c r="B171" s="21"/>
      <x:c r="C171" s="21"/>
      <x:c r="D171" s="21"/>
      <x:c r="E171" s="21"/>
      <x:c r="F171" s="21"/>
      <x:c r="G171" s="21"/>
      <x:c r="H171" s="28"/>
      <x:c r="I171" s="28"/>
      <x:c r="J171" s="28"/>
      <x:c r="K171" s="28"/>
      <x:c r="L171" s="28"/>
      <x:c r="M171" s="28"/>
      <x:c r="N171" s="29" t="str">
        <x:f>IF(A171="","",IF(AND(COUNT(H171:M171)=Start!$B$12,MIN(H171:M171)&gt;=0,MAX(H171:M171)&lt;=Start!$B$11),SUM(H171:M171),""))</x:f>
      </x:c>
      <x:c r="O171" s="21"/>
      <x:c r="P171" s="21"/>
      <x:c r="Q171" s="21"/>
      <x:c r="R171" s="21"/>
      <x:c r="S171" s="21"/>
      <x:c r="T171" s="21"/>
      <x:c r="U171" s="26" t="str">
        <x:f>IF(A171="","",IF(AND(R171="LIVE",G171="Adjudicated",ISNUMBER(N171),B171&lt;&gt;"",C171&lt;&gt;"",D171&lt;&gt;"",E171&lt;&gt;"",F171&lt;&gt;"",O171&lt;&gt;"",P171&lt;&gt;"",Q171&lt;&gt;"",S171&lt;&gt;""),"ELIGIBLE","EXCLUDED"))</x:f>
      </x:c>
    </x:row>
    <x:row r="172" ht="32" customHeight="1">
      <x:c r="A172" s="21"/>
      <x:c r="B172" s="21"/>
      <x:c r="C172" s="21"/>
      <x:c r="D172" s="21"/>
      <x:c r="E172" s="21"/>
      <x:c r="F172" s="21"/>
      <x:c r="G172" s="21"/>
      <x:c r="H172" s="28"/>
      <x:c r="I172" s="28"/>
      <x:c r="J172" s="28"/>
      <x:c r="K172" s="28"/>
      <x:c r="L172" s="28"/>
      <x:c r="M172" s="28"/>
      <x:c r="N172" s="29" t="str">
        <x:f>IF(A172="","",IF(AND(COUNT(H172:M172)=Start!$B$12,MIN(H172:M172)&gt;=0,MAX(H172:M172)&lt;=Start!$B$11),SUM(H172:M172),""))</x:f>
      </x:c>
      <x:c r="O172" s="21"/>
      <x:c r="P172" s="21"/>
      <x:c r="Q172" s="21"/>
      <x:c r="R172" s="21"/>
      <x:c r="S172" s="21"/>
      <x:c r="T172" s="21"/>
      <x:c r="U172" s="26" t="str">
        <x:f>IF(A172="","",IF(AND(R172="LIVE",G172="Adjudicated",ISNUMBER(N172),B172&lt;&gt;"",C172&lt;&gt;"",D172&lt;&gt;"",E172&lt;&gt;"",F172&lt;&gt;"",O172&lt;&gt;"",P172&lt;&gt;"",Q172&lt;&gt;"",S172&lt;&gt;""),"ELIGIBLE","EXCLUDED"))</x:f>
      </x:c>
    </x:row>
    <x:row r="173" ht="32" customHeight="1">
      <x:c r="A173" s="21"/>
      <x:c r="B173" s="21"/>
      <x:c r="C173" s="21"/>
      <x:c r="D173" s="21"/>
      <x:c r="E173" s="21"/>
      <x:c r="F173" s="21"/>
      <x:c r="G173" s="21"/>
      <x:c r="H173" s="28"/>
      <x:c r="I173" s="28"/>
      <x:c r="J173" s="28"/>
      <x:c r="K173" s="28"/>
      <x:c r="L173" s="28"/>
      <x:c r="M173" s="28"/>
      <x:c r="N173" s="29" t="str">
        <x:f>IF(A173="","",IF(AND(COUNT(H173:M173)=Start!$B$12,MIN(H173:M173)&gt;=0,MAX(H173:M173)&lt;=Start!$B$11),SUM(H173:M173),""))</x:f>
      </x:c>
      <x:c r="O173" s="21"/>
      <x:c r="P173" s="21"/>
      <x:c r="Q173" s="21"/>
      <x:c r="R173" s="21"/>
      <x:c r="S173" s="21"/>
      <x:c r="T173" s="21"/>
      <x:c r="U173" s="26" t="str">
        <x:f>IF(A173="","",IF(AND(R173="LIVE",G173="Adjudicated",ISNUMBER(N173),B173&lt;&gt;"",C173&lt;&gt;"",D173&lt;&gt;"",E173&lt;&gt;"",F173&lt;&gt;"",O173&lt;&gt;"",P173&lt;&gt;"",Q173&lt;&gt;"",S173&lt;&gt;""),"ELIGIBLE","EXCLUDED"))</x:f>
      </x:c>
    </x:row>
    <x:row r="174" ht="32" customHeight="1">
      <x:c r="A174" s="21"/>
      <x:c r="B174" s="21"/>
      <x:c r="C174" s="21"/>
      <x:c r="D174" s="21"/>
      <x:c r="E174" s="21"/>
      <x:c r="F174" s="21"/>
      <x:c r="G174" s="21"/>
      <x:c r="H174" s="28"/>
      <x:c r="I174" s="28"/>
      <x:c r="J174" s="28"/>
      <x:c r="K174" s="28"/>
      <x:c r="L174" s="28"/>
      <x:c r="M174" s="28"/>
      <x:c r="N174" s="29" t="str">
        <x:f>IF(A174="","",IF(AND(COUNT(H174:M174)=Start!$B$12,MIN(H174:M174)&gt;=0,MAX(H174:M174)&lt;=Start!$B$11),SUM(H174:M174),""))</x:f>
      </x:c>
      <x:c r="O174" s="21"/>
      <x:c r="P174" s="21"/>
      <x:c r="Q174" s="21"/>
      <x:c r="R174" s="21"/>
      <x:c r="S174" s="21"/>
      <x:c r="T174" s="21"/>
      <x:c r="U174" s="26" t="str">
        <x:f>IF(A174="","",IF(AND(R174="LIVE",G174="Adjudicated",ISNUMBER(N174),B174&lt;&gt;"",C174&lt;&gt;"",D174&lt;&gt;"",E174&lt;&gt;"",F174&lt;&gt;"",O174&lt;&gt;"",P174&lt;&gt;"",Q174&lt;&gt;"",S174&lt;&gt;""),"ELIGIBLE","EXCLUDED"))</x:f>
      </x:c>
    </x:row>
    <x:row r="175" ht="32" customHeight="1">
      <x:c r="A175" s="21"/>
      <x:c r="B175" s="21"/>
      <x:c r="C175" s="21"/>
      <x:c r="D175" s="21"/>
      <x:c r="E175" s="21"/>
      <x:c r="F175" s="21"/>
      <x:c r="G175" s="21"/>
      <x:c r="H175" s="28"/>
      <x:c r="I175" s="28"/>
      <x:c r="J175" s="28"/>
      <x:c r="K175" s="28"/>
      <x:c r="L175" s="28"/>
      <x:c r="M175" s="28"/>
      <x:c r="N175" s="29" t="str">
        <x:f>IF(A175="","",IF(AND(COUNT(H175:M175)=Start!$B$12,MIN(H175:M175)&gt;=0,MAX(H175:M175)&lt;=Start!$B$11),SUM(H175:M175),""))</x:f>
      </x:c>
      <x:c r="O175" s="21"/>
      <x:c r="P175" s="21"/>
      <x:c r="Q175" s="21"/>
      <x:c r="R175" s="21"/>
      <x:c r="S175" s="21"/>
      <x:c r="T175" s="21"/>
      <x:c r="U175" s="26" t="str">
        <x:f>IF(A175="","",IF(AND(R175="LIVE",G175="Adjudicated",ISNUMBER(N175),B175&lt;&gt;"",C175&lt;&gt;"",D175&lt;&gt;"",E175&lt;&gt;"",F175&lt;&gt;"",O175&lt;&gt;"",P175&lt;&gt;"",Q175&lt;&gt;"",S175&lt;&gt;""),"ELIGIBLE","EXCLUDED"))</x:f>
      </x:c>
    </x:row>
    <x:row r="176" ht="32" customHeight="1">
      <x:c r="A176" s="21"/>
      <x:c r="B176" s="21"/>
      <x:c r="C176" s="21"/>
      <x:c r="D176" s="21"/>
      <x:c r="E176" s="21"/>
      <x:c r="F176" s="21"/>
      <x:c r="G176" s="21"/>
      <x:c r="H176" s="28"/>
      <x:c r="I176" s="28"/>
      <x:c r="J176" s="28"/>
      <x:c r="K176" s="28"/>
      <x:c r="L176" s="28"/>
      <x:c r="M176" s="28"/>
      <x:c r="N176" s="29" t="str">
        <x:f>IF(A176="","",IF(AND(COUNT(H176:M176)=Start!$B$12,MIN(H176:M176)&gt;=0,MAX(H176:M176)&lt;=Start!$B$11),SUM(H176:M176),""))</x:f>
      </x:c>
      <x:c r="O176" s="21"/>
      <x:c r="P176" s="21"/>
      <x:c r="Q176" s="21"/>
      <x:c r="R176" s="21"/>
      <x:c r="S176" s="21"/>
      <x:c r="T176" s="21"/>
      <x:c r="U176" s="26" t="str">
        <x:f>IF(A176="","",IF(AND(R176="LIVE",G176="Adjudicated",ISNUMBER(N176),B176&lt;&gt;"",C176&lt;&gt;"",D176&lt;&gt;"",E176&lt;&gt;"",F176&lt;&gt;"",O176&lt;&gt;"",P176&lt;&gt;"",Q176&lt;&gt;"",S176&lt;&gt;""),"ELIGIBLE","EXCLUDED"))</x:f>
      </x:c>
    </x:row>
    <x:row r="177" ht="32" customHeight="1">
      <x:c r="A177" s="21"/>
      <x:c r="B177" s="21"/>
      <x:c r="C177" s="21"/>
      <x:c r="D177" s="21"/>
      <x:c r="E177" s="21"/>
      <x:c r="F177" s="21"/>
      <x:c r="G177" s="21"/>
      <x:c r="H177" s="28"/>
      <x:c r="I177" s="28"/>
      <x:c r="J177" s="28"/>
      <x:c r="K177" s="28"/>
      <x:c r="L177" s="28"/>
      <x:c r="M177" s="28"/>
      <x:c r="N177" s="29" t="str">
        <x:f>IF(A177="","",IF(AND(COUNT(H177:M177)=Start!$B$12,MIN(H177:M177)&gt;=0,MAX(H177:M177)&lt;=Start!$B$11),SUM(H177:M177),""))</x:f>
      </x:c>
      <x:c r="O177" s="21"/>
      <x:c r="P177" s="21"/>
      <x:c r="Q177" s="21"/>
      <x:c r="R177" s="21"/>
      <x:c r="S177" s="21"/>
      <x:c r="T177" s="21"/>
      <x:c r="U177" s="26" t="str">
        <x:f>IF(A177="","",IF(AND(R177="LIVE",G177="Adjudicated",ISNUMBER(N177),B177&lt;&gt;"",C177&lt;&gt;"",D177&lt;&gt;"",E177&lt;&gt;"",F177&lt;&gt;"",O177&lt;&gt;"",P177&lt;&gt;"",Q177&lt;&gt;"",S177&lt;&gt;""),"ELIGIBLE","EXCLUDED"))</x:f>
      </x:c>
    </x:row>
    <x:row r="178" ht="32" customHeight="1">
      <x:c r="A178" s="21"/>
      <x:c r="B178" s="21"/>
      <x:c r="C178" s="21"/>
      <x:c r="D178" s="21"/>
      <x:c r="E178" s="21"/>
      <x:c r="F178" s="21"/>
      <x:c r="G178" s="21"/>
      <x:c r="H178" s="28"/>
      <x:c r="I178" s="28"/>
      <x:c r="J178" s="28"/>
      <x:c r="K178" s="28"/>
      <x:c r="L178" s="28"/>
      <x:c r="M178" s="28"/>
      <x:c r="N178" s="29" t="str">
        <x:f>IF(A178="","",IF(AND(COUNT(H178:M178)=Start!$B$12,MIN(H178:M178)&gt;=0,MAX(H178:M178)&lt;=Start!$B$11),SUM(H178:M178),""))</x:f>
      </x:c>
      <x:c r="O178" s="21"/>
      <x:c r="P178" s="21"/>
      <x:c r="Q178" s="21"/>
      <x:c r="R178" s="21"/>
      <x:c r="S178" s="21"/>
      <x:c r="T178" s="21"/>
      <x:c r="U178" s="26" t="str">
        <x:f>IF(A178="","",IF(AND(R178="LIVE",G178="Adjudicated",ISNUMBER(N178),B178&lt;&gt;"",C178&lt;&gt;"",D178&lt;&gt;"",E178&lt;&gt;"",F178&lt;&gt;"",O178&lt;&gt;"",P178&lt;&gt;"",Q178&lt;&gt;"",S178&lt;&gt;""),"ELIGIBLE","EXCLUDED"))</x:f>
      </x:c>
    </x:row>
    <x:row r="179" ht="32" customHeight="1">
      <x:c r="A179" s="21"/>
      <x:c r="B179" s="21"/>
      <x:c r="C179" s="21"/>
      <x:c r="D179" s="21"/>
      <x:c r="E179" s="21"/>
      <x:c r="F179" s="21"/>
      <x:c r="G179" s="21"/>
      <x:c r="H179" s="28"/>
      <x:c r="I179" s="28"/>
      <x:c r="J179" s="28"/>
      <x:c r="K179" s="28"/>
      <x:c r="L179" s="28"/>
      <x:c r="M179" s="28"/>
      <x:c r="N179" s="29" t="str">
        <x:f>IF(A179="","",IF(AND(COUNT(H179:M179)=Start!$B$12,MIN(H179:M179)&gt;=0,MAX(H179:M179)&lt;=Start!$B$11),SUM(H179:M179),""))</x:f>
      </x:c>
      <x:c r="O179" s="21"/>
      <x:c r="P179" s="21"/>
      <x:c r="Q179" s="21"/>
      <x:c r="R179" s="21"/>
      <x:c r="S179" s="21"/>
      <x:c r="T179" s="21"/>
      <x:c r="U179" s="26" t="str">
        <x:f>IF(A179="","",IF(AND(R179="LIVE",G179="Adjudicated",ISNUMBER(N179),B179&lt;&gt;"",C179&lt;&gt;"",D179&lt;&gt;"",E179&lt;&gt;"",F179&lt;&gt;"",O179&lt;&gt;"",P179&lt;&gt;"",Q179&lt;&gt;"",S179&lt;&gt;""),"ELIGIBLE","EXCLUDED"))</x:f>
      </x:c>
    </x:row>
    <x:row r="180" ht="32" customHeight="1">
      <x:c r="A180" s="21"/>
      <x:c r="B180" s="21"/>
      <x:c r="C180" s="21"/>
      <x:c r="D180" s="21"/>
      <x:c r="E180" s="21"/>
      <x:c r="F180" s="21"/>
      <x:c r="G180" s="21"/>
      <x:c r="H180" s="28"/>
      <x:c r="I180" s="28"/>
      <x:c r="J180" s="28"/>
      <x:c r="K180" s="28"/>
      <x:c r="L180" s="28"/>
      <x:c r="M180" s="28"/>
      <x:c r="N180" s="29" t="str">
        <x:f>IF(A180="","",IF(AND(COUNT(H180:M180)=Start!$B$12,MIN(H180:M180)&gt;=0,MAX(H180:M180)&lt;=Start!$B$11),SUM(H180:M180),""))</x:f>
      </x:c>
      <x:c r="O180" s="21"/>
      <x:c r="P180" s="21"/>
      <x:c r="Q180" s="21"/>
      <x:c r="R180" s="21"/>
      <x:c r="S180" s="21"/>
      <x:c r="T180" s="21"/>
      <x:c r="U180" s="26" t="str">
        <x:f>IF(A180="","",IF(AND(R180="LIVE",G180="Adjudicated",ISNUMBER(N180),B180&lt;&gt;"",C180&lt;&gt;"",D180&lt;&gt;"",E180&lt;&gt;"",F180&lt;&gt;"",O180&lt;&gt;"",P180&lt;&gt;"",Q180&lt;&gt;"",S180&lt;&gt;""),"ELIGIBLE","EXCLUDED"))</x:f>
      </x:c>
    </x:row>
    <x:row r="181" ht="32" customHeight="1">
      <x:c r="A181" s="21"/>
      <x:c r="B181" s="21"/>
      <x:c r="C181" s="21"/>
      <x:c r="D181" s="21"/>
      <x:c r="E181" s="21"/>
      <x:c r="F181" s="21"/>
      <x:c r="G181" s="21"/>
      <x:c r="H181" s="28"/>
      <x:c r="I181" s="28"/>
      <x:c r="J181" s="28"/>
      <x:c r="K181" s="28"/>
      <x:c r="L181" s="28"/>
      <x:c r="M181" s="28"/>
      <x:c r="N181" s="29" t="str">
        <x:f>IF(A181="","",IF(AND(COUNT(H181:M181)=Start!$B$12,MIN(H181:M181)&gt;=0,MAX(H181:M181)&lt;=Start!$B$11),SUM(H181:M181),""))</x:f>
      </x:c>
      <x:c r="O181" s="21"/>
      <x:c r="P181" s="21"/>
      <x:c r="Q181" s="21"/>
      <x:c r="R181" s="21"/>
      <x:c r="S181" s="21"/>
      <x:c r="T181" s="21"/>
      <x:c r="U181" s="26" t="str">
        <x:f>IF(A181="","",IF(AND(R181="LIVE",G181="Adjudicated",ISNUMBER(N181),B181&lt;&gt;"",C181&lt;&gt;"",D181&lt;&gt;"",E181&lt;&gt;"",F181&lt;&gt;"",O181&lt;&gt;"",P181&lt;&gt;"",Q181&lt;&gt;"",S181&lt;&gt;""),"ELIGIBLE","EXCLUDED"))</x:f>
      </x:c>
    </x:row>
    <x:row r="182" ht="32" customHeight="1">
      <x:c r="A182" s="21"/>
      <x:c r="B182" s="21"/>
      <x:c r="C182" s="21"/>
      <x:c r="D182" s="21"/>
      <x:c r="E182" s="21"/>
      <x:c r="F182" s="21"/>
      <x:c r="G182" s="21"/>
      <x:c r="H182" s="28"/>
      <x:c r="I182" s="28"/>
      <x:c r="J182" s="28"/>
      <x:c r="K182" s="28"/>
      <x:c r="L182" s="28"/>
      <x:c r="M182" s="28"/>
      <x:c r="N182" s="29" t="str">
        <x:f>IF(A182="","",IF(AND(COUNT(H182:M182)=Start!$B$12,MIN(H182:M182)&gt;=0,MAX(H182:M182)&lt;=Start!$B$11),SUM(H182:M182),""))</x:f>
      </x:c>
      <x:c r="O182" s="21"/>
      <x:c r="P182" s="21"/>
      <x:c r="Q182" s="21"/>
      <x:c r="R182" s="21"/>
      <x:c r="S182" s="21"/>
      <x:c r="T182" s="21"/>
      <x:c r="U182" s="26" t="str">
        <x:f>IF(A182="","",IF(AND(R182="LIVE",G182="Adjudicated",ISNUMBER(N182),B182&lt;&gt;"",C182&lt;&gt;"",D182&lt;&gt;"",E182&lt;&gt;"",F182&lt;&gt;"",O182&lt;&gt;"",P182&lt;&gt;"",Q182&lt;&gt;"",S182&lt;&gt;""),"ELIGIBLE","EXCLUDED"))</x:f>
      </x:c>
    </x:row>
    <x:row r="183" ht="32" customHeight="1">
      <x:c r="A183" s="21"/>
      <x:c r="B183" s="21"/>
      <x:c r="C183" s="21"/>
      <x:c r="D183" s="21"/>
      <x:c r="E183" s="21"/>
      <x:c r="F183" s="21"/>
      <x:c r="G183" s="21"/>
      <x:c r="H183" s="28"/>
      <x:c r="I183" s="28"/>
      <x:c r="J183" s="28"/>
      <x:c r="K183" s="28"/>
      <x:c r="L183" s="28"/>
      <x:c r="M183" s="28"/>
      <x:c r="N183" s="29" t="str">
        <x:f>IF(A183="","",IF(AND(COUNT(H183:M183)=Start!$B$12,MIN(H183:M183)&gt;=0,MAX(H183:M183)&lt;=Start!$B$11),SUM(H183:M183),""))</x:f>
      </x:c>
      <x:c r="O183" s="21"/>
      <x:c r="P183" s="21"/>
      <x:c r="Q183" s="21"/>
      <x:c r="R183" s="21"/>
      <x:c r="S183" s="21"/>
      <x:c r="T183" s="21"/>
      <x:c r="U183" s="26" t="str">
        <x:f>IF(A183="","",IF(AND(R183="LIVE",G183="Adjudicated",ISNUMBER(N183),B183&lt;&gt;"",C183&lt;&gt;"",D183&lt;&gt;"",E183&lt;&gt;"",F183&lt;&gt;"",O183&lt;&gt;"",P183&lt;&gt;"",Q183&lt;&gt;"",S183&lt;&gt;""),"ELIGIBLE","EXCLUDED"))</x:f>
      </x:c>
    </x:row>
    <x:row r="184" ht="32" customHeight="1">
      <x:c r="A184" s="21"/>
      <x:c r="B184" s="21"/>
      <x:c r="C184" s="21"/>
      <x:c r="D184" s="21"/>
      <x:c r="E184" s="21"/>
      <x:c r="F184" s="21"/>
      <x:c r="G184" s="21"/>
      <x:c r="H184" s="28"/>
      <x:c r="I184" s="28"/>
      <x:c r="J184" s="28"/>
      <x:c r="K184" s="28"/>
      <x:c r="L184" s="28"/>
      <x:c r="M184" s="28"/>
      <x:c r="N184" s="29" t="str">
        <x:f>IF(A184="","",IF(AND(COUNT(H184:M184)=Start!$B$12,MIN(H184:M184)&gt;=0,MAX(H184:M184)&lt;=Start!$B$11),SUM(H184:M184),""))</x:f>
      </x:c>
      <x:c r="O184" s="21"/>
      <x:c r="P184" s="21"/>
      <x:c r="Q184" s="21"/>
      <x:c r="R184" s="21"/>
      <x:c r="S184" s="21"/>
      <x:c r="T184" s="21"/>
      <x:c r="U184" s="26" t="str">
        <x:f>IF(A184="","",IF(AND(R184="LIVE",G184="Adjudicated",ISNUMBER(N184),B184&lt;&gt;"",C184&lt;&gt;"",D184&lt;&gt;"",E184&lt;&gt;"",F184&lt;&gt;"",O184&lt;&gt;"",P184&lt;&gt;"",Q184&lt;&gt;"",S184&lt;&gt;""),"ELIGIBLE","EXCLUDED"))</x:f>
      </x:c>
    </x:row>
    <x:row r="185" ht="32" customHeight="1">
      <x:c r="A185" s="21"/>
      <x:c r="B185" s="21"/>
      <x:c r="C185" s="21"/>
      <x:c r="D185" s="21"/>
      <x:c r="E185" s="21"/>
      <x:c r="F185" s="21"/>
      <x:c r="G185" s="21"/>
      <x:c r="H185" s="28"/>
      <x:c r="I185" s="28"/>
      <x:c r="J185" s="28"/>
      <x:c r="K185" s="28"/>
      <x:c r="L185" s="28"/>
      <x:c r="M185" s="28"/>
      <x:c r="N185" s="29" t="str">
        <x:f>IF(A185="","",IF(AND(COUNT(H185:M185)=Start!$B$12,MIN(H185:M185)&gt;=0,MAX(H185:M185)&lt;=Start!$B$11),SUM(H185:M185),""))</x:f>
      </x:c>
      <x:c r="O185" s="21"/>
      <x:c r="P185" s="21"/>
      <x:c r="Q185" s="21"/>
      <x:c r="R185" s="21"/>
      <x:c r="S185" s="21"/>
      <x:c r="T185" s="21"/>
      <x:c r="U185" s="26" t="str">
        <x:f>IF(A185="","",IF(AND(R185="LIVE",G185="Adjudicated",ISNUMBER(N185),B185&lt;&gt;"",C185&lt;&gt;"",D185&lt;&gt;"",E185&lt;&gt;"",F185&lt;&gt;"",O185&lt;&gt;"",P185&lt;&gt;"",Q185&lt;&gt;"",S185&lt;&gt;""),"ELIGIBLE","EXCLUDED"))</x:f>
      </x:c>
    </x:row>
    <x:row r="186" ht="32" customHeight="1">
      <x:c r="A186" s="21"/>
      <x:c r="B186" s="21"/>
      <x:c r="C186" s="21"/>
      <x:c r="D186" s="21"/>
      <x:c r="E186" s="21"/>
      <x:c r="F186" s="21"/>
      <x:c r="G186" s="21"/>
      <x:c r="H186" s="28"/>
      <x:c r="I186" s="28"/>
      <x:c r="J186" s="28"/>
      <x:c r="K186" s="28"/>
      <x:c r="L186" s="28"/>
      <x:c r="M186" s="28"/>
      <x:c r="N186" s="29" t="str">
        <x:f>IF(A186="","",IF(AND(COUNT(H186:M186)=Start!$B$12,MIN(H186:M186)&gt;=0,MAX(H186:M186)&lt;=Start!$B$11),SUM(H186:M186),""))</x:f>
      </x:c>
      <x:c r="O186" s="21"/>
      <x:c r="P186" s="21"/>
      <x:c r="Q186" s="21"/>
      <x:c r="R186" s="21"/>
      <x:c r="S186" s="21"/>
      <x:c r="T186" s="21"/>
      <x:c r="U186" s="26" t="str">
        <x:f>IF(A186="","",IF(AND(R186="LIVE",G186="Adjudicated",ISNUMBER(N186),B186&lt;&gt;"",C186&lt;&gt;"",D186&lt;&gt;"",E186&lt;&gt;"",F186&lt;&gt;"",O186&lt;&gt;"",P186&lt;&gt;"",Q186&lt;&gt;"",S186&lt;&gt;""),"ELIGIBLE","EXCLUDED"))</x:f>
      </x:c>
    </x:row>
    <x:row r="187" ht="32" customHeight="1">
      <x:c r="A187" s="21"/>
      <x:c r="B187" s="21"/>
      <x:c r="C187" s="21"/>
      <x:c r="D187" s="21"/>
      <x:c r="E187" s="21"/>
      <x:c r="F187" s="21"/>
      <x:c r="G187" s="21"/>
      <x:c r="H187" s="28"/>
      <x:c r="I187" s="28"/>
      <x:c r="J187" s="28"/>
      <x:c r="K187" s="28"/>
      <x:c r="L187" s="28"/>
      <x:c r="M187" s="28"/>
      <x:c r="N187" s="29" t="str">
        <x:f>IF(A187="","",IF(AND(COUNT(H187:M187)=Start!$B$12,MIN(H187:M187)&gt;=0,MAX(H187:M187)&lt;=Start!$B$11),SUM(H187:M187),""))</x:f>
      </x:c>
      <x:c r="O187" s="21"/>
      <x:c r="P187" s="21"/>
      <x:c r="Q187" s="21"/>
      <x:c r="R187" s="21"/>
      <x:c r="S187" s="21"/>
      <x:c r="T187" s="21"/>
      <x:c r="U187" s="26" t="str">
        <x:f>IF(A187="","",IF(AND(R187="LIVE",G187="Adjudicated",ISNUMBER(N187),B187&lt;&gt;"",C187&lt;&gt;"",D187&lt;&gt;"",E187&lt;&gt;"",F187&lt;&gt;"",O187&lt;&gt;"",P187&lt;&gt;"",Q187&lt;&gt;"",S187&lt;&gt;""),"ELIGIBLE","EXCLUDED"))</x:f>
      </x:c>
    </x:row>
    <x:row r="188" ht="32" customHeight="1">
      <x:c r="A188" s="21"/>
      <x:c r="B188" s="21"/>
      <x:c r="C188" s="21"/>
      <x:c r="D188" s="21"/>
      <x:c r="E188" s="21"/>
      <x:c r="F188" s="21"/>
      <x:c r="G188" s="21"/>
      <x:c r="H188" s="28"/>
      <x:c r="I188" s="28"/>
      <x:c r="J188" s="28"/>
      <x:c r="K188" s="28"/>
      <x:c r="L188" s="28"/>
      <x:c r="M188" s="28"/>
      <x:c r="N188" s="29" t="str">
        <x:f>IF(A188="","",IF(AND(COUNT(H188:M188)=Start!$B$12,MIN(H188:M188)&gt;=0,MAX(H188:M188)&lt;=Start!$B$11),SUM(H188:M188),""))</x:f>
      </x:c>
      <x:c r="O188" s="21"/>
      <x:c r="P188" s="21"/>
      <x:c r="Q188" s="21"/>
      <x:c r="R188" s="21"/>
      <x:c r="S188" s="21"/>
      <x:c r="T188" s="21"/>
      <x:c r="U188" s="26" t="str">
        <x:f>IF(A188="","",IF(AND(R188="LIVE",G188="Adjudicated",ISNUMBER(N188),B188&lt;&gt;"",C188&lt;&gt;"",D188&lt;&gt;"",E188&lt;&gt;"",F188&lt;&gt;"",O188&lt;&gt;"",P188&lt;&gt;"",Q188&lt;&gt;"",S188&lt;&gt;""),"ELIGIBLE","EXCLUDED"))</x:f>
      </x:c>
    </x:row>
    <x:row r="189" ht="32" customHeight="1">
      <x:c r="A189" s="21"/>
      <x:c r="B189" s="21"/>
      <x:c r="C189" s="21"/>
      <x:c r="D189" s="21"/>
      <x:c r="E189" s="21"/>
      <x:c r="F189" s="21"/>
      <x:c r="G189" s="21"/>
      <x:c r="H189" s="28"/>
      <x:c r="I189" s="28"/>
      <x:c r="J189" s="28"/>
      <x:c r="K189" s="28"/>
      <x:c r="L189" s="28"/>
      <x:c r="M189" s="28"/>
      <x:c r="N189" s="29" t="str">
        <x:f>IF(A189="","",IF(AND(COUNT(H189:M189)=Start!$B$12,MIN(H189:M189)&gt;=0,MAX(H189:M189)&lt;=Start!$B$11),SUM(H189:M189),""))</x:f>
      </x:c>
      <x:c r="O189" s="21"/>
      <x:c r="P189" s="21"/>
      <x:c r="Q189" s="21"/>
      <x:c r="R189" s="21"/>
      <x:c r="S189" s="21"/>
      <x:c r="T189" s="21"/>
      <x:c r="U189" s="26" t="str">
        <x:f>IF(A189="","",IF(AND(R189="LIVE",G189="Adjudicated",ISNUMBER(N189),B189&lt;&gt;"",C189&lt;&gt;"",D189&lt;&gt;"",E189&lt;&gt;"",F189&lt;&gt;"",O189&lt;&gt;"",P189&lt;&gt;"",Q189&lt;&gt;"",S189&lt;&gt;""),"ELIGIBLE","EXCLUDED"))</x:f>
      </x:c>
    </x:row>
    <x:row r="190" ht="32" customHeight="1">
      <x:c r="A190" s="21"/>
      <x:c r="B190" s="21"/>
      <x:c r="C190" s="21"/>
      <x:c r="D190" s="21"/>
      <x:c r="E190" s="21"/>
      <x:c r="F190" s="21"/>
      <x:c r="G190" s="21"/>
      <x:c r="H190" s="28"/>
      <x:c r="I190" s="28"/>
      <x:c r="J190" s="28"/>
      <x:c r="K190" s="28"/>
      <x:c r="L190" s="28"/>
      <x:c r="M190" s="28"/>
      <x:c r="N190" s="29" t="str">
        <x:f>IF(A190="","",IF(AND(COUNT(H190:M190)=Start!$B$12,MIN(H190:M190)&gt;=0,MAX(H190:M190)&lt;=Start!$B$11),SUM(H190:M190),""))</x:f>
      </x:c>
      <x:c r="O190" s="21"/>
      <x:c r="P190" s="21"/>
      <x:c r="Q190" s="21"/>
      <x:c r="R190" s="21"/>
      <x:c r="S190" s="21"/>
      <x:c r="T190" s="21"/>
      <x:c r="U190" s="26" t="str">
        <x:f>IF(A190="","",IF(AND(R190="LIVE",G190="Adjudicated",ISNUMBER(N190),B190&lt;&gt;"",C190&lt;&gt;"",D190&lt;&gt;"",E190&lt;&gt;"",F190&lt;&gt;"",O190&lt;&gt;"",P190&lt;&gt;"",Q190&lt;&gt;"",S190&lt;&gt;""),"ELIGIBLE","EXCLUDED"))</x:f>
      </x:c>
    </x:row>
    <x:row r="191" ht="32" customHeight="1">
      <x:c r="A191" s="21"/>
      <x:c r="B191" s="21"/>
      <x:c r="C191" s="21"/>
      <x:c r="D191" s="21"/>
      <x:c r="E191" s="21"/>
      <x:c r="F191" s="21"/>
      <x:c r="G191" s="21"/>
      <x:c r="H191" s="28"/>
      <x:c r="I191" s="28"/>
      <x:c r="J191" s="28"/>
      <x:c r="K191" s="28"/>
      <x:c r="L191" s="28"/>
      <x:c r="M191" s="28"/>
      <x:c r="N191" s="29" t="str">
        <x:f>IF(A191="","",IF(AND(COUNT(H191:M191)=Start!$B$12,MIN(H191:M191)&gt;=0,MAX(H191:M191)&lt;=Start!$B$11),SUM(H191:M191),""))</x:f>
      </x:c>
      <x:c r="O191" s="21"/>
      <x:c r="P191" s="21"/>
      <x:c r="Q191" s="21"/>
      <x:c r="R191" s="21"/>
      <x:c r="S191" s="21"/>
      <x:c r="T191" s="21"/>
      <x:c r="U191" s="26" t="str">
        <x:f>IF(A191="","",IF(AND(R191="LIVE",G191="Adjudicated",ISNUMBER(N191),B191&lt;&gt;"",C191&lt;&gt;"",D191&lt;&gt;"",E191&lt;&gt;"",F191&lt;&gt;"",O191&lt;&gt;"",P191&lt;&gt;"",Q191&lt;&gt;"",S191&lt;&gt;""),"ELIGIBLE","EXCLUDED"))</x:f>
      </x:c>
    </x:row>
    <x:row r="192" ht="32" customHeight="1">
      <x:c r="A192" s="21"/>
      <x:c r="B192" s="21"/>
      <x:c r="C192" s="21"/>
      <x:c r="D192" s="21"/>
      <x:c r="E192" s="21"/>
      <x:c r="F192" s="21"/>
      <x:c r="G192" s="21"/>
      <x:c r="H192" s="28"/>
      <x:c r="I192" s="28"/>
      <x:c r="J192" s="28"/>
      <x:c r="K192" s="28"/>
      <x:c r="L192" s="28"/>
      <x:c r="M192" s="28"/>
      <x:c r="N192" s="29" t="str">
        <x:f>IF(A192="","",IF(AND(COUNT(H192:M192)=Start!$B$12,MIN(H192:M192)&gt;=0,MAX(H192:M192)&lt;=Start!$B$11),SUM(H192:M192),""))</x:f>
      </x:c>
      <x:c r="O192" s="21"/>
      <x:c r="P192" s="21"/>
      <x:c r="Q192" s="21"/>
      <x:c r="R192" s="21"/>
      <x:c r="S192" s="21"/>
      <x:c r="T192" s="21"/>
      <x:c r="U192" s="26" t="str">
        <x:f>IF(A192="","",IF(AND(R192="LIVE",G192="Adjudicated",ISNUMBER(N192),B192&lt;&gt;"",C192&lt;&gt;"",D192&lt;&gt;"",E192&lt;&gt;"",F192&lt;&gt;"",O192&lt;&gt;"",P192&lt;&gt;"",Q192&lt;&gt;"",S192&lt;&gt;""),"ELIGIBLE","EXCLUDED"))</x:f>
      </x:c>
    </x:row>
    <x:row r="193" ht="32" customHeight="1">
      <x:c r="A193" s="21"/>
      <x:c r="B193" s="21"/>
      <x:c r="C193" s="21"/>
      <x:c r="D193" s="21"/>
      <x:c r="E193" s="21"/>
      <x:c r="F193" s="21"/>
      <x:c r="G193" s="21"/>
      <x:c r="H193" s="28"/>
      <x:c r="I193" s="28"/>
      <x:c r="J193" s="28"/>
      <x:c r="K193" s="28"/>
      <x:c r="L193" s="28"/>
      <x:c r="M193" s="28"/>
      <x:c r="N193" s="29" t="str">
        <x:f>IF(A193="","",IF(AND(COUNT(H193:M193)=Start!$B$12,MIN(H193:M193)&gt;=0,MAX(H193:M193)&lt;=Start!$B$11),SUM(H193:M193),""))</x:f>
      </x:c>
      <x:c r="O193" s="21"/>
      <x:c r="P193" s="21"/>
      <x:c r="Q193" s="21"/>
      <x:c r="R193" s="21"/>
      <x:c r="S193" s="21"/>
      <x:c r="T193" s="21"/>
      <x:c r="U193" s="26" t="str">
        <x:f>IF(A193="","",IF(AND(R193="LIVE",G193="Adjudicated",ISNUMBER(N193),B193&lt;&gt;"",C193&lt;&gt;"",D193&lt;&gt;"",E193&lt;&gt;"",F193&lt;&gt;"",O193&lt;&gt;"",P193&lt;&gt;"",Q193&lt;&gt;"",S193&lt;&gt;""),"ELIGIBLE","EXCLUDED"))</x:f>
      </x:c>
    </x:row>
    <x:row r="194" ht="32" customHeight="1">
      <x:c r="A194" s="21"/>
      <x:c r="B194" s="21"/>
      <x:c r="C194" s="21"/>
      <x:c r="D194" s="21"/>
      <x:c r="E194" s="21"/>
      <x:c r="F194" s="21"/>
      <x:c r="G194" s="21"/>
      <x:c r="H194" s="28"/>
      <x:c r="I194" s="28"/>
      <x:c r="J194" s="28"/>
      <x:c r="K194" s="28"/>
      <x:c r="L194" s="28"/>
      <x:c r="M194" s="28"/>
      <x:c r="N194" s="29" t="str">
        <x:f>IF(A194="","",IF(AND(COUNT(H194:M194)=Start!$B$12,MIN(H194:M194)&gt;=0,MAX(H194:M194)&lt;=Start!$B$11),SUM(H194:M194),""))</x:f>
      </x:c>
      <x:c r="O194" s="21"/>
      <x:c r="P194" s="21"/>
      <x:c r="Q194" s="21"/>
      <x:c r="R194" s="21"/>
      <x:c r="S194" s="21"/>
      <x:c r="T194" s="21"/>
      <x:c r="U194" s="26" t="str">
        <x:f>IF(A194="","",IF(AND(R194="LIVE",G194="Adjudicated",ISNUMBER(N194),B194&lt;&gt;"",C194&lt;&gt;"",D194&lt;&gt;"",E194&lt;&gt;"",F194&lt;&gt;"",O194&lt;&gt;"",P194&lt;&gt;"",Q194&lt;&gt;"",S194&lt;&gt;""),"ELIGIBLE","EXCLUDED"))</x:f>
      </x:c>
    </x:row>
    <x:row r="195" ht="32" customHeight="1">
      <x:c r="A195" s="21"/>
      <x:c r="B195" s="21"/>
      <x:c r="C195" s="21"/>
      <x:c r="D195" s="21"/>
      <x:c r="E195" s="21"/>
      <x:c r="F195" s="21"/>
      <x:c r="G195" s="21"/>
      <x:c r="H195" s="28"/>
      <x:c r="I195" s="28"/>
      <x:c r="J195" s="28"/>
      <x:c r="K195" s="28"/>
      <x:c r="L195" s="28"/>
      <x:c r="M195" s="28"/>
      <x:c r="N195" s="29" t="str">
        <x:f>IF(A195="","",IF(AND(COUNT(H195:M195)=Start!$B$12,MIN(H195:M195)&gt;=0,MAX(H195:M195)&lt;=Start!$B$11),SUM(H195:M195),""))</x:f>
      </x:c>
      <x:c r="O195" s="21"/>
      <x:c r="P195" s="21"/>
      <x:c r="Q195" s="21"/>
      <x:c r="R195" s="21"/>
      <x:c r="S195" s="21"/>
      <x:c r="T195" s="21"/>
      <x:c r="U195" s="26" t="str">
        <x:f>IF(A195="","",IF(AND(R195="LIVE",G195="Adjudicated",ISNUMBER(N195),B195&lt;&gt;"",C195&lt;&gt;"",D195&lt;&gt;"",E195&lt;&gt;"",F195&lt;&gt;"",O195&lt;&gt;"",P195&lt;&gt;"",Q195&lt;&gt;"",S195&lt;&gt;""),"ELIGIBLE","EXCLUDED"))</x:f>
      </x:c>
    </x:row>
    <x:row r="196" ht="32" customHeight="1">
      <x:c r="A196" s="21"/>
      <x:c r="B196" s="21"/>
      <x:c r="C196" s="21"/>
      <x:c r="D196" s="21"/>
      <x:c r="E196" s="21"/>
      <x:c r="F196" s="21"/>
      <x:c r="G196" s="21"/>
      <x:c r="H196" s="28"/>
      <x:c r="I196" s="28"/>
      <x:c r="J196" s="28"/>
      <x:c r="K196" s="28"/>
      <x:c r="L196" s="28"/>
      <x:c r="M196" s="28"/>
      <x:c r="N196" s="29" t="str">
        <x:f>IF(A196="","",IF(AND(COUNT(H196:M196)=Start!$B$12,MIN(H196:M196)&gt;=0,MAX(H196:M196)&lt;=Start!$B$11),SUM(H196:M196),""))</x:f>
      </x:c>
      <x:c r="O196" s="21"/>
      <x:c r="P196" s="21"/>
      <x:c r="Q196" s="21"/>
      <x:c r="R196" s="21"/>
      <x:c r="S196" s="21"/>
      <x:c r="T196" s="21"/>
      <x:c r="U196" s="26" t="str">
        <x:f>IF(A196="","",IF(AND(R196="LIVE",G196="Adjudicated",ISNUMBER(N196),B196&lt;&gt;"",C196&lt;&gt;"",D196&lt;&gt;"",E196&lt;&gt;"",F196&lt;&gt;"",O196&lt;&gt;"",P196&lt;&gt;"",Q196&lt;&gt;"",S196&lt;&gt;""),"ELIGIBLE","EXCLUDED"))</x:f>
      </x:c>
    </x:row>
    <x:row r="197" ht="32" customHeight="1">
      <x:c r="A197" s="21"/>
      <x:c r="B197" s="21"/>
      <x:c r="C197" s="21"/>
      <x:c r="D197" s="21"/>
      <x:c r="E197" s="21"/>
      <x:c r="F197" s="21"/>
      <x:c r="G197" s="21"/>
      <x:c r="H197" s="28"/>
      <x:c r="I197" s="28"/>
      <x:c r="J197" s="28"/>
      <x:c r="K197" s="28"/>
      <x:c r="L197" s="28"/>
      <x:c r="M197" s="28"/>
      <x:c r="N197" s="29" t="str">
        <x:f>IF(A197="","",IF(AND(COUNT(H197:M197)=Start!$B$12,MIN(H197:M197)&gt;=0,MAX(H197:M197)&lt;=Start!$B$11),SUM(H197:M197),""))</x:f>
      </x:c>
      <x:c r="O197" s="21"/>
      <x:c r="P197" s="21"/>
      <x:c r="Q197" s="21"/>
      <x:c r="R197" s="21"/>
      <x:c r="S197" s="21"/>
      <x:c r="T197" s="21"/>
      <x:c r="U197" s="26" t="str">
        <x:f>IF(A197="","",IF(AND(R197="LIVE",G197="Adjudicated",ISNUMBER(N197),B197&lt;&gt;"",C197&lt;&gt;"",D197&lt;&gt;"",E197&lt;&gt;"",F197&lt;&gt;"",O197&lt;&gt;"",P197&lt;&gt;"",Q197&lt;&gt;"",S197&lt;&gt;""),"ELIGIBLE","EXCLUDED"))</x:f>
      </x:c>
    </x:row>
    <x:row r="198" ht="32" customHeight="1">
      <x:c r="A198" s="21"/>
      <x:c r="B198" s="21"/>
      <x:c r="C198" s="21"/>
      <x:c r="D198" s="21"/>
      <x:c r="E198" s="21"/>
      <x:c r="F198" s="21"/>
      <x:c r="G198" s="21"/>
      <x:c r="H198" s="28"/>
      <x:c r="I198" s="28"/>
      <x:c r="J198" s="28"/>
      <x:c r="K198" s="28"/>
      <x:c r="L198" s="28"/>
      <x:c r="M198" s="28"/>
      <x:c r="N198" s="29" t="str">
        <x:f>IF(A198="","",IF(AND(COUNT(H198:M198)=Start!$B$12,MIN(H198:M198)&gt;=0,MAX(H198:M198)&lt;=Start!$B$11),SUM(H198:M198),""))</x:f>
      </x:c>
      <x:c r="O198" s="21"/>
      <x:c r="P198" s="21"/>
      <x:c r="Q198" s="21"/>
      <x:c r="R198" s="21"/>
      <x:c r="S198" s="21"/>
      <x:c r="T198" s="21"/>
      <x:c r="U198" s="26" t="str">
        <x:f>IF(A198="","",IF(AND(R198="LIVE",G198="Adjudicated",ISNUMBER(N198),B198&lt;&gt;"",C198&lt;&gt;"",D198&lt;&gt;"",E198&lt;&gt;"",F198&lt;&gt;"",O198&lt;&gt;"",P198&lt;&gt;"",Q198&lt;&gt;"",S198&lt;&gt;""),"ELIGIBLE","EXCLUDED"))</x:f>
      </x:c>
    </x:row>
    <x:row r="199" ht="32" customHeight="1">
      <x:c r="A199" s="21"/>
      <x:c r="B199" s="21"/>
      <x:c r="C199" s="21"/>
      <x:c r="D199" s="21"/>
      <x:c r="E199" s="21"/>
      <x:c r="F199" s="21"/>
      <x:c r="G199" s="21"/>
      <x:c r="H199" s="28"/>
      <x:c r="I199" s="28"/>
      <x:c r="J199" s="28"/>
      <x:c r="K199" s="28"/>
      <x:c r="L199" s="28"/>
      <x:c r="M199" s="28"/>
      <x:c r="N199" s="29" t="str">
        <x:f>IF(A199="","",IF(AND(COUNT(H199:M199)=Start!$B$12,MIN(H199:M199)&gt;=0,MAX(H199:M199)&lt;=Start!$B$11),SUM(H199:M199),""))</x:f>
      </x:c>
      <x:c r="O199" s="21"/>
      <x:c r="P199" s="21"/>
      <x:c r="Q199" s="21"/>
      <x:c r="R199" s="21"/>
      <x:c r="S199" s="21"/>
      <x:c r="T199" s="21"/>
      <x:c r="U199" s="26" t="str">
        <x:f>IF(A199="","",IF(AND(R199="LIVE",G199="Adjudicated",ISNUMBER(N199),B199&lt;&gt;"",C199&lt;&gt;"",D199&lt;&gt;"",E199&lt;&gt;"",F199&lt;&gt;"",O199&lt;&gt;"",P199&lt;&gt;"",Q199&lt;&gt;"",S199&lt;&gt;""),"ELIGIBLE","EXCLUDED"))</x:f>
      </x:c>
    </x:row>
    <x:row r="200" ht="32" customHeight="1">
      <x:c r="A200" s="21"/>
      <x:c r="B200" s="21"/>
      <x:c r="C200" s="21"/>
      <x:c r="D200" s="21"/>
      <x:c r="E200" s="21"/>
      <x:c r="F200" s="21"/>
      <x:c r="G200" s="21"/>
      <x:c r="H200" s="28"/>
      <x:c r="I200" s="28"/>
      <x:c r="J200" s="28"/>
      <x:c r="K200" s="28"/>
      <x:c r="L200" s="28"/>
      <x:c r="M200" s="28"/>
      <x:c r="N200" s="29" t="str">
        <x:f>IF(A200="","",IF(AND(COUNT(H200:M200)=Start!$B$12,MIN(H200:M200)&gt;=0,MAX(H200:M200)&lt;=Start!$B$11),SUM(H200:M200),""))</x:f>
      </x:c>
      <x:c r="O200" s="21"/>
      <x:c r="P200" s="21"/>
      <x:c r="Q200" s="21"/>
      <x:c r="R200" s="21"/>
      <x:c r="S200" s="21"/>
      <x:c r="T200" s="21"/>
      <x:c r="U200" s="26" t="str">
        <x:f>IF(A200="","",IF(AND(R200="LIVE",G200="Adjudicated",ISNUMBER(N200),B200&lt;&gt;"",C200&lt;&gt;"",D200&lt;&gt;"",E200&lt;&gt;"",F200&lt;&gt;"",O200&lt;&gt;"",P200&lt;&gt;"",Q200&lt;&gt;"",S200&lt;&gt;""),"ELIGIBLE","EXCLUDED"))</x:f>
      </x:c>
    </x:row>
    <x:row r="201" ht="32" customHeight="1">
      <x:c r="A201" s="21"/>
      <x:c r="B201" s="21"/>
      <x:c r="C201" s="21"/>
      <x:c r="D201" s="21"/>
      <x:c r="E201" s="21"/>
      <x:c r="F201" s="21"/>
      <x:c r="G201" s="21"/>
      <x:c r="H201" s="28"/>
      <x:c r="I201" s="28"/>
      <x:c r="J201" s="28"/>
      <x:c r="K201" s="28"/>
      <x:c r="L201" s="28"/>
      <x:c r="M201" s="28"/>
      <x:c r="N201" s="29" t="str">
        <x:f>IF(A201="","",IF(AND(COUNT(H201:M201)=Start!$B$12,MIN(H201:M201)&gt;=0,MAX(H201:M201)&lt;=Start!$B$11),SUM(H201:M201),""))</x:f>
      </x:c>
      <x:c r="O201" s="21"/>
      <x:c r="P201" s="21"/>
      <x:c r="Q201" s="21"/>
      <x:c r="R201" s="21"/>
      <x:c r="S201" s="21"/>
      <x:c r="T201" s="21"/>
      <x:c r="U201" s="26" t="str">
        <x:f>IF(A201="","",IF(AND(R201="LIVE",G201="Adjudicated",ISNUMBER(N201),B201&lt;&gt;"",C201&lt;&gt;"",D201&lt;&gt;"",E201&lt;&gt;"",F201&lt;&gt;"",O201&lt;&gt;"",P201&lt;&gt;"",Q201&lt;&gt;"",S201&lt;&gt;""),"ELIGIBLE","EXCLUDED"))</x:f>
      </x:c>
    </x:row>
    <x:row r="202" ht="32" customHeight="1">
      <x:c r="A202" s="21"/>
      <x:c r="B202" s="21"/>
      <x:c r="C202" s="21"/>
      <x:c r="D202" s="21"/>
      <x:c r="E202" s="21"/>
      <x:c r="F202" s="21"/>
      <x:c r="G202" s="21"/>
      <x:c r="H202" s="28"/>
      <x:c r="I202" s="28"/>
      <x:c r="J202" s="28"/>
      <x:c r="K202" s="28"/>
      <x:c r="L202" s="28"/>
      <x:c r="M202" s="28"/>
      <x:c r="N202" s="29" t="str">
        <x:f>IF(A202="","",IF(AND(COUNT(H202:M202)=Start!$B$12,MIN(H202:M202)&gt;=0,MAX(H202:M202)&lt;=Start!$B$11),SUM(H202:M202),""))</x:f>
      </x:c>
      <x:c r="O202" s="21"/>
      <x:c r="P202" s="21"/>
      <x:c r="Q202" s="21"/>
      <x:c r="R202" s="21"/>
      <x:c r="S202" s="21"/>
      <x:c r="T202" s="21"/>
      <x:c r="U202" s="26" t="str">
        <x:f>IF(A202="","",IF(AND(R202="LIVE",G202="Adjudicated",ISNUMBER(N202),B202&lt;&gt;"",C202&lt;&gt;"",D202&lt;&gt;"",E202&lt;&gt;"",F202&lt;&gt;"",O202&lt;&gt;"",P202&lt;&gt;"",Q202&lt;&gt;"",S202&lt;&gt;""),"ELIGIBLE","EXCLUDED"))</x:f>
      </x:c>
    </x:row>
    <x:row r="203" ht="32" customHeight="1">
      <x:c r="A203" s="21"/>
      <x:c r="B203" s="21"/>
      <x:c r="C203" s="21"/>
      <x:c r="D203" s="21"/>
      <x:c r="E203" s="21"/>
      <x:c r="F203" s="21"/>
      <x:c r="G203" s="21"/>
      <x:c r="H203" s="28"/>
      <x:c r="I203" s="28"/>
      <x:c r="J203" s="28"/>
      <x:c r="K203" s="28"/>
      <x:c r="L203" s="28"/>
      <x:c r="M203" s="28"/>
      <x:c r="N203" s="29" t="str">
        <x:f>IF(A203="","",IF(AND(COUNT(H203:M203)=Start!$B$12,MIN(H203:M203)&gt;=0,MAX(H203:M203)&lt;=Start!$B$11),SUM(H203:M203),""))</x:f>
      </x:c>
      <x:c r="O203" s="21"/>
      <x:c r="P203" s="21"/>
      <x:c r="Q203" s="21"/>
      <x:c r="R203" s="21"/>
      <x:c r="S203" s="21"/>
      <x:c r="T203" s="21"/>
      <x:c r="U203" s="26" t="str">
        <x:f>IF(A203="","",IF(AND(R203="LIVE",G203="Adjudicated",ISNUMBER(N203),B203&lt;&gt;"",C203&lt;&gt;"",D203&lt;&gt;"",E203&lt;&gt;"",F203&lt;&gt;"",O203&lt;&gt;"",P203&lt;&gt;"",Q203&lt;&gt;"",S203&lt;&gt;""),"ELIGIBLE","EXCLUDED"))</x:f>
      </x:c>
    </x:row>
    <x:row r="204" ht="32" customHeight="1">
      <x:c r="A204" s="21"/>
      <x:c r="B204" s="21"/>
      <x:c r="C204" s="21"/>
      <x:c r="D204" s="21"/>
      <x:c r="E204" s="21"/>
      <x:c r="F204" s="21"/>
      <x:c r="G204" s="21"/>
      <x:c r="H204" s="28"/>
      <x:c r="I204" s="28"/>
      <x:c r="J204" s="28"/>
      <x:c r="K204" s="28"/>
      <x:c r="L204" s="28"/>
      <x:c r="M204" s="28"/>
      <x:c r="N204" s="29" t="str">
        <x:f>IF(A204="","",IF(AND(COUNT(H204:M204)=Start!$B$12,MIN(H204:M204)&gt;=0,MAX(H204:M204)&lt;=Start!$B$11),SUM(H204:M204),""))</x:f>
      </x:c>
      <x:c r="O204" s="21"/>
      <x:c r="P204" s="21"/>
      <x:c r="Q204" s="21"/>
      <x:c r="R204" s="21"/>
      <x:c r="S204" s="21"/>
      <x:c r="T204" s="21"/>
      <x:c r="U204" s="26" t="str">
        <x:f>IF(A204="","",IF(AND(R204="LIVE",G204="Adjudicated",ISNUMBER(N204),B204&lt;&gt;"",C204&lt;&gt;"",D204&lt;&gt;"",E204&lt;&gt;"",F204&lt;&gt;"",O204&lt;&gt;"",P204&lt;&gt;"",Q204&lt;&gt;"",S204&lt;&gt;""),"ELIGIBLE","EXCLUDED"))</x:f>
      </x:c>
    </x:row>
  </x:sheetData>
  <x:mergeCells>
    <x:mergeCell ref="A1:U1"/>
    <x:mergeCell ref="A2:U2"/>
  </x:mergeCells>
  <x:dataValidations count="6">
    <x:dataValidation type="list" sqref="C5:C204">
      <x:formula1>"CERPA,Comparison"</x:formula1>
    </x:dataValidation>
    <x:dataValidation type="list" sqref="D5:D204">
      <x:formula1>"Baseline,Post,Delayed"</x:formula1>
    </x:dataValidation>
    <x:dataValidation type="list" sqref="E5:E204">
      <x:formula1>"Independent,Coached,Amplified"</x:formula1>
    </x:dataValidation>
    <x:dataValidation type="list" sqref="G5:G204">
      <x:formula1>"R1,R2,Adjudicated"</x:formula1>
    </x:dataValidation>
    <x:dataValidation type="list" sqref="R5:R204">
      <x:formula1>"LIVE,SYNTHETIC,TEST"</x:formula1>
    </x:dataValidation>
    <x:dataValidation type="list" sqref="H5:M204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81c620b45242c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32" hidden="0" customWidth="1"/>
    <x:col min="9" max="9" width="28" hidden="0" customWidth="1"/>
  </x:cols>
  <x:sheetData>
    <x:row r="1" ht="32" customHeight="1">
      <x:c r="A1" s="9" t="str">
        <x:v>Σ FIRST | LEARNER OUTCOMES</x:v>
      </x:c>
      <x:c r="B1" s="9"/>
      <x:c r="C1" s="9"/>
      <x:c r="D1" s="9"/>
      <x:c r="E1" s="9"/>
      <x:c r="F1" s="9"/>
      <x:c r="G1" s="9"/>
      <x:c r="H1" s="9"/>
      <x:c r="I1" s="9"/>
    </x:row>
    <x:row r="2" ht="32" customHeight="1">
      <x:c r="A2" s="13" t="str">
        <x:v>Enter each approved anonymous learner ID once with assigned arm. Derived scores require exactly one eligible adjudicated record. No student outcomes are prefilled.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 ht="32" customHeight="1">
      <x:c r="A4" s="17" t="str">
        <x:v>Learner_ID</x:v>
      </x:c>
      <x:c r="B4" s="17" t="str">
        <x:v>Arm</x:v>
      </x:c>
      <x:c r="C4" s="17" t="str">
        <x:v>Baseline_Independent</x:v>
      </x:c>
      <x:c r="D4" s="17" t="str">
        <x:v>Post_Independent</x:v>
      </x:c>
      <x:c r="E4" s="17" t="str">
        <x:v>Delayed_Independent</x:v>
      </x:c>
      <x:c r="F4" s="17" t="str">
        <x:v>Paired_Change</x:v>
      </x:c>
      <x:c r="G4" s="17" t="str">
        <x:v>Post_Amplified</x:v>
      </x:c>
      <x:c r="H4" s="17" t="str">
        <x:v>Post_and_Pair_Status</x:v>
      </x:c>
      <x:c r="I4" s="17" t="str">
        <x:v>Duplicate_Check</x:v>
      </x:c>
    </x:row>
    <x:row r="5" ht="32" customHeight="1">
      <x:c r="A5" s="21"/>
      <x:c r="B5" s="21"/>
      <x:c r="C5" s="29" t="str">
        <x:f>IF($A5="","",IF(COUNTIFS(Assessment!$B$5:$B$204,$A5,Assessment!$C$5:$C$204,$B5,Assessment!$D$5:$D$204,"Baseline",Assessment!$E$5:$E$204,"Independent",Assessment!$U$5:$U$204,"ELIGIBLE")=1,SUMIFS(Assessment!$N$5:$N$204,Assessment!$B$5:$B$204,$A5,Assessment!$C$5:$C$204,$B5,Assessment!$D$5:$D$204,"Baseline",Assessment!$E$5:$E$204,"Independent",Assessment!$U$5:$U$204,"ELIGIBLE"),""))</x:f>
      </x:c>
      <x:c r="D5" s="29" t="str">
        <x:f>IF($A5="","",IF(COUNTIFS(Assessment!$B$5:$B$204,$A5,Assessment!$C$5:$C$204,$B5,Assessment!$D$5:$D$204,"Post",Assessment!$E$5:$E$204,"Independent",Assessment!$U$5:$U$204,"ELIGIBLE")=1,SUMIFS(Assessment!$N$5:$N$204,Assessment!$B$5:$B$204,$A5,Assessment!$C$5:$C$204,$B5,Assessment!$D$5:$D$204,"Post",Assessment!$E$5:$E$204,"Independent",Assessment!$U$5:$U$204,"ELIGIBLE"),""))</x:f>
      </x:c>
      <x:c r="E5" s="29" t="str">
        <x:f>IF($A5="","",IF(COUNTIFS(Assessment!$B$5:$B$204,$A5,Assessment!$C$5:$C$204,$B5,Assessment!$D$5:$D$204,"Delayed",Assessment!$E$5:$E$204,"Independent",Assessment!$U$5:$U$204,"ELIGIBLE")=1,SUMIFS(Assessment!$N$5:$N$204,Assessment!$B$5:$B$204,$A5,Assessment!$C$5:$C$204,$B5,Assessment!$D$5:$D$204,"Delayed",Assessment!$E$5:$E$204,"Independent",Assessment!$U$5:$U$204,"ELIGIBLE"),""))</x:f>
      </x:c>
      <x:c r="F5" s="29" t="str">
        <x:f>IF(A5="","",IF(AND(ISNUMBER(C5),ISNUMBER(D5)),D5-C5,""))</x:f>
      </x:c>
      <x:c r="G5" s="29" t="str">
        <x:f>IF($A5="","",IF(COUNTIFS(Assessment!$B$5:$B$204,$A5,Assessment!$C$5:$C$204,$B5,Assessment!$D$5:$D$204,"Post",Assessment!$E$5:$E$204,"Amplified",Assessment!$U$5:$U$204,"ELIGIBLE")=1,SUMIFS(Assessment!$N$5:$N$204,Assessment!$B$5:$B$204,$A5,Assessment!$C$5:$C$204,$B5,Assessment!$D$5:$D$204,"Post",Assessment!$E$5:$E$204,"Amplified",Assessment!$U$5:$U$204,"ELIGIBLE"),""))</x:f>
      </x:c>
      <x:c r="H5" s="26" t="str">
        <x:f>IF(A5="","",IF(ISNUMBER(D5),IF(ISNUMBER(C5),"POST COMPLETE / PAIRED","POST COMPLETE / UNPAIRED"),"POST MISSING"))</x:f>
      </x:c>
      <x:c r="I5" s="26" t="str">
        <x:f>IF(A5="","",IF(OR(COUNTIF($A$5:$A$44,A5)&gt;1,COUNTIFS(Assessment!$B$5:$B$204,A5,Assessment!$C$5:$C$204,B5,Assessment!$D$5:$D$204,"Baseline",Assessment!$E$5:$E$204,"Independent",Assessment!$U$5:$U$204,"ELIGIBLE")&gt;1,COUNTIFS(Assessment!$B$5:$B$204,A5,Assessment!$C$5:$C$204,B5,Assessment!$D$5:$D$204,"Post",Assessment!$E$5:$E$204,"Independent",Assessment!$U$5:$U$204,"ELIGIBLE")&gt;1,COUNTIFS(Assessment!$B$5:$B$204,A5,Assessment!$C$5:$C$204,B5,Assessment!$D$5:$D$204,"Delayed",Assessment!$E$5:$E$204,"Independent",Assessment!$U$5:$U$204,"ELIGIBLE")&gt;1,COUNTIFS(Assessment!$B$5:$B$204,A5,Assessment!$C$5:$C$204,B5,Assessment!$D$5:$D$204,"Post",Assessment!$E$5:$E$204,"Amplified",Assessment!$U$5:$U$204,"ELIGIBLE")&gt;1),"DUPLICATE / RESOLVE","UNIQUE"))</x:f>
      </x:c>
    </x:row>
    <x:row r="6" ht="32" customHeight="1">
      <x:c r="A6" s="21"/>
      <x:c r="B6" s="21"/>
      <x:c r="C6" s="29" t="str">
        <x:f>IF($A6="","",IF(COUNTIFS(Assessment!$B$5:$B$204,$A6,Assessment!$C$5:$C$204,$B6,Assessment!$D$5:$D$204,"Baseline",Assessment!$E$5:$E$204,"Independent",Assessment!$U$5:$U$204,"ELIGIBLE")=1,SUMIFS(Assessment!$N$5:$N$204,Assessment!$B$5:$B$204,$A6,Assessment!$C$5:$C$204,$B6,Assessment!$D$5:$D$204,"Baseline",Assessment!$E$5:$E$204,"Independent",Assessment!$U$5:$U$204,"ELIGIBLE"),""))</x:f>
      </x:c>
      <x:c r="D6" s="29" t="str">
        <x:f>IF($A6="","",IF(COUNTIFS(Assessment!$B$5:$B$204,$A6,Assessment!$C$5:$C$204,$B6,Assessment!$D$5:$D$204,"Post",Assessment!$E$5:$E$204,"Independent",Assessment!$U$5:$U$204,"ELIGIBLE")=1,SUMIFS(Assessment!$N$5:$N$204,Assessment!$B$5:$B$204,$A6,Assessment!$C$5:$C$204,$B6,Assessment!$D$5:$D$204,"Post",Assessment!$E$5:$E$204,"Independent",Assessment!$U$5:$U$204,"ELIGIBLE"),""))</x:f>
      </x:c>
      <x:c r="E6" s="29" t="str">
        <x:f>IF($A6="","",IF(COUNTIFS(Assessment!$B$5:$B$204,$A6,Assessment!$C$5:$C$204,$B6,Assessment!$D$5:$D$204,"Delayed",Assessment!$E$5:$E$204,"Independent",Assessment!$U$5:$U$204,"ELIGIBLE")=1,SUMIFS(Assessment!$N$5:$N$204,Assessment!$B$5:$B$204,$A6,Assessment!$C$5:$C$204,$B6,Assessment!$D$5:$D$204,"Delayed",Assessment!$E$5:$E$204,"Independent",Assessment!$U$5:$U$204,"ELIGIBLE"),""))</x:f>
      </x:c>
      <x:c r="F6" s="29" t="str">
        <x:f>IF(A6="","",IF(AND(ISNUMBER(C6),ISNUMBER(D6)),D6-C6,""))</x:f>
      </x:c>
      <x:c r="G6" s="29" t="str">
        <x:f>IF($A6="","",IF(COUNTIFS(Assessment!$B$5:$B$204,$A6,Assessment!$C$5:$C$204,$B6,Assessment!$D$5:$D$204,"Post",Assessment!$E$5:$E$204,"Amplified",Assessment!$U$5:$U$204,"ELIGIBLE")=1,SUMIFS(Assessment!$N$5:$N$204,Assessment!$B$5:$B$204,$A6,Assessment!$C$5:$C$204,$B6,Assessment!$D$5:$D$204,"Post",Assessment!$E$5:$E$204,"Amplified",Assessment!$U$5:$U$204,"ELIGIBLE"),""))</x:f>
      </x:c>
      <x:c r="H6" s="26" t="str">
        <x:f>IF(A6="","",IF(ISNUMBER(D6),IF(ISNUMBER(C6),"POST COMPLETE / PAIRED","POST COMPLETE / UNPAIRED"),"POST MISSING"))</x:f>
      </x:c>
      <x:c r="I6" s="26" t="str">
        <x:f>IF(A6="","",IF(OR(COUNTIF($A$5:$A$44,A6)&gt;1,COUNTIFS(Assessment!$B$5:$B$204,A6,Assessment!$C$5:$C$204,B6,Assessment!$D$5:$D$204,"Baseline",Assessment!$E$5:$E$204,"Independent",Assessment!$U$5:$U$204,"ELIGIBLE")&gt;1,COUNTIFS(Assessment!$B$5:$B$204,A6,Assessment!$C$5:$C$204,B6,Assessment!$D$5:$D$204,"Post",Assessment!$E$5:$E$204,"Independent",Assessment!$U$5:$U$204,"ELIGIBLE")&gt;1,COUNTIFS(Assessment!$B$5:$B$204,A6,Assessment!$C$5:$C$204,B6,Assessment!$D$5:$D$204,"Delayed",Assessment!$E$5:$E$204,"Independent",Assessment!$U$5:$U$204,"ELIGIBLE")&gt;1,COUNTIFS(Assessment!$B$5:$B$204,A6,Assessment!$C$5:$C$204,B6,Assessment!$D$5:$D$204,"Post",Assessment!$E$5:$E$204,"Amplified",Assessment!$U$5:$U$204,"ELIGIBLE")&gt;1),"DUPLICATE / RESOLVE","UNIQUE"))</x:f>
      </x:c>
    </x:row>
    <x:row r="7" ht="32" customHeight="1">
      <x:c r="A7" s="21"/>
      <x:c r="B7" s="21"/>
      <x:c r="C7" s="29" t="str">
        <x:f>IF($A7="","",IF(COUNTIFS(Assessment!$B$5:$B$204,$A7,Assessment!$C$5:$C$204,$B7,Assessment!$D$5:$D$204,"Baseline",Assessment!$E$5:$E$204,"Independent",Assessment!$U$5:$U$204,"ELIGIBLE")=1,SUMIFS(Assessment!$N$5:$N$204,Assessment!$B$5:$B$204,$A7,Assessment!$C$5:$C$204,$B7,Assessment!$D$5:$D$204,"Baseline",Assessment!$E$5:$E$204,"Independent",Assessment!$U$5:$U$204,"ELIGIBLE"),""))</x:f>
      </x:c>
      <x:c r="D7" s="29" t="str">
        <x:f>IF($A7="","",IF(COUNTIFS(Assessment!$B$5:$B$204,$A7,Assessment!$C$5:$C$204,$B7,Assessment!$D$5:$D$204,"Post",Assessment!$E$5:$E$204,"Independent",Assessment!$U$5:$U$204,"ELIGIBLE")=1,SUMIFS(Assessment!$N$5:$N$204,Assessment!$B$5:$B$204,$A7,Assessment!$C$5:$C$204,$B7,Assessment!$D$5:$D$204,"Post",Assessment!$E$5:$E$204,"Independent",Assessment!$U$5:$U$204,"ELIGIBLE"),""))</x:f>
      </x:c>
      <x:c r="E7" s="29" t="str">
        <x:f>IF($A7="","",IF(COUNTIFS(Assessment!$B$5:$B$204,$A7,Assessment!$C$5:$C$204,$B7,Assessment!$D$5:$D$204,"Delayed",Assessment!$E$5:$E$204,"Independent",Assessment!$U$5:$U$204,"ELIGIBLE")=1,SUMIFS(Assessment!$N$5:$N$204,Assessment!$B$5:$B$204,$A7,Assessment!$C$5:$C$204,$B7,Assessment!$D$5:$D$204,"Delayed",Assessment!$E$5:$E$204,"Independent",Assessment!$U$5:$U$204,"ELIGIBLE"),""))</x:f>
      </x:c>
      <x:c r="F7" s="29" t="str">
        <x:f>IF(A7="","",IF(AND(ISNUMBER(C7),ISNUMBER(D7)),D7-C7,""))</x:f>
      </x:c>
      <x:c r="G7" s="29" t="str">
        <x:f>IF($A7="","",IF(COUNTIFS(Assessment!$B$5:$B$204,$A7,Assessment!$C$5:$C$204,$B7,Assessment!$D$5:$D$204,"Post",Assessment!$E$5:$E$204,"Amplified",Assessment!$U$5:$U$204,"ELIGIBLE")=1,SUMIFS(Assessment!$N$5:$N$204,Assessment!$B$5:$B$204,$A7,Assessment!$C$5:$C$204,$B7,Assessment!$D$5:$D$204,"Post",Assessment!$E$5:$E$204,"Amplified",Assessment!$U$5:$U$204,"ELIGIBLE"),""))</x:f>
      </x:c>
      <x:c r="H7" s="26" t="str">
        <x:f>IF(A7="","",IF(ISNUMBER(D7),IF(ISNUMBER(C7),"POST COMPLETE / PAIRED","POST COMPLETE / UNPAIRED"),"POST MISSING"))</x:f>
      </x:c>
      <x:c r="I7" s="26" t="str">
        <x:f>IF(A7="","",IF(OR(COUNTIF($A$5:$A$44,A7)&gt;1,COUNTIFS(Assessment!$B$5:$B$204,A7,Assessment!$C$5:$C$204,B7,Assessment!$D$5:$D$204,"Baseline",Assessment!$E$5:$E$204,"Independent",Assessment!$U$5:$U$204,"ELIGIBLE")&gt;1,COUNTIFS(Assessment!$B$5:$B$204,A7,Assessment!$C$5:$C$204,B7,Assessment!$D$5:$D$204,"Post",Assessment!$E$5:$E$204,"Independent",Assessment!$U$5:$U$204,"ELIGIBLE")&gt;1,COUNTIFS(Assessment!$B$5:$B$204,A7,Assessment!$C$5:$C$204,B7,Assessment!$D$5:$D$204,"Delayed",Assessment!$E$5:$E$204,"Independent",Assessment!$U$5:$U$204,"ELIGIBLE")&gt;1,COUNTIFS(Assessment!$B$5:$B$204,A7,Assessment!$C$5:$C$204,B7,Assessment!$D$5:$D$204,"Post",Assessment!$E$5:$E$204,"Amplified",Assessment!$U$5:$U$204,"ELIGIBLE")&gt;1),"DUPLICATE / RESOLVE","UNIQUE"))</x:f>
      </x:c>
    </x:row>
    <x:row r="8" ht="32" customHeight="1">
      <x:c r="A8" s="21"/>
      <x:c r="B8" s="21"/>
      <x:c r="C8" s="29" t="str">
        <x:f>IF($A8="","",IF(COUNTIFS(Assessment!$B$5:$B$204,$A8,Assessment!$C$5:$C$204,$B8,Assessment!$D$5:$D$204,"Baseline",Assessment!$E$5:$E$204,"Independent",Assessment!$U$5:$U$204,"ELIGIBLE")=1,SUMIFS(Assessment!$N$5:$N$204,Assessment!$B$5:$B$204,$A8,Assessment!$C$5:$C$204,$B8,Assessment!$D$5:$D$204,"Baseline",Assessment!$E$5:$E$204,"Independent",Assessment!$U$5:$U$204,"ELIGIBLE"),""))</x:f>
      </x:c>
      <x:c r="D8" s="29" t="str">
        <x:f>IF($A8="","",IF(COUNTIFS(Assessment!$B$5:$B$204,$A8,Assessment!$C$5:$C$204,$B8,Assessment!$D$5:$D$204,"Post",Assessment!$E$5:$E$204,"Independent",Assessment!$U$5:$U$204,"ELIGIBLE")=1,SUMIFS(Assessment!$N$5:$N$204,Assessment!$B$5:$B$204,$A8,Assessment!$C$5:$C$204,$B8,Assessment!$D$5:$D$204,"Post",Assessment!$E$5:$E$204,"Independent",Assessment!$U$5:$U$204,"ELIGIBLE"),""))</x:f>
      </x:c>
      <x:c r="E8" s="29" t="str">
        <x:f>IF($A8="","",IF(COUNTIFS(Assessment!$B$5:$B$204,$A8,Assessment!$C$5:$C$204,$B8,Assessment!$D$5:$D$204,"Delayed",Assessment!$E$5:$E$204,"Independent",Assessment!$U$5:$U$204,"ELIGIBLE")=1,SUMIFS(Assessment!$N$5:$N$204,Assessment!$B$5:$B$204,$A8,Assessment!$C$5:$C$204,$B8,Assessment!$D$5:$D$204,"Delayed",Assessment!$E$5:$E$204,"Independent",Assessment!$U$5:$U$204,"ELIGIBLE"),""))</x:f>
      </x:c>
      <x:c r="F8" s="29" t="str">
        <x:f>IF(A8="","",IF(AND(ISNUMBER(C8),ISNUMBER(D8)),D8-C8,""))</x:f>
      </x:c>
      <x:c r="G8" s="29" t="str">
        <x:f>IF($A8="","",IF(COUNTIFS(Assessment!$B$5:$B$204,$A8,Assessment!$C$5:$C$204,$B8,Assessment!$D$5:$D$204,"Post",Assessment!$E$5:$E$204,"Amplified",Assessment!$U$5:$U$204,"ELIGIBLE")=1,SUMIFS(Assessment!$N$5:$N$204,Assessment!$B$5:$B$204,$A8,Assessment!$C$5:$C$204,$B8,Assessment!$D$5:$D$204,"Post",Assessment!$E$5:$E$204,"Amplified",Assessment!$U$5:$U$204,"ELIGIBLE"),""))</x:f>
      </x:c>
      <x:c r="H8" s="26" t="str">
        <x:f>IF(A8="","",IF(ISNUMBER(D8),IF(ISNUMBER(C8),"POST COMPLETE / PAIRED","POST COMPLETE / UNPAIRED"),"POST MISSING"))</x:f>
      </x:c>
      <x:c r="I8" s="26" t="str">
        <x:f>IF(A8="","",IF(OR(COUNTIF($A$5:$A$44,A8)&gt;1,COUNTIFS(Assessment!$B$5:$B$204,A8,Assessment!$C$5:$C$204,B8,Assessment!$D$5:$D$204,"Baseline",Assessment!$E$5:$E$204,"Independent",Assessment!$U$5:$U$204,"ELIGIBLE")&gt;1,COUNTIFS(Assessment!$B$5:$B$204,A8,Assessment!$C$5:$C$204,B8,Assessment!$D$5:$D$204,"Post",Assessment!$E$5:$E$204,"Independent",Assessment!$U$5:$U$204,"ELIGIBLE")&gt;1,COUNTIFS(Assessment!$B$5:$B$204,A8,Assessment!$C$5:$C$204,B8,Assessment!$D$5:$D$204,"Delayed",Assessment!$E$5:$E$204,"Independent",Assessment!$U$5:$U$204,"ELIGIBLE")&gt;1,COUNTIFS(Assessment!$B$5:$B$204,A8,Assessment!$C$5:$C$204,B8,Assessment!$D$5:$D$204,"Post",Assessment!$E$5:$E$204,"Amplified",Assessment!$U$5:$U$204,"ELIGIBLE")&gt;1),"DUPLICATE / RESOLVE","UNIQUE"))</x:f>
      </x:c>
    </x:row>
    <x:row r="9" ht="32" customHeight="1">
      <x:c r="A9" s="21"/>
      <x:c r="B9" s="21"/>
      <x:c r="C9" s="29" t="str">
        <x:f>IF($A9="","",IF(COUNTIFS(Assessment!$B$5:$B$204,$A9,Assessment!$C$5:$C$204,$B9,Assessment!$D$5:$D$204,"Baseline",Assessment!$E$5:$E$204,"Independent",Assessment!$U$5:$U$204,"ELIGIBLE")=1,SUMIFS(Assessment!$N$5:$N$204,Assessment!$B$5:$B$204,$A9,Assessment!$C$5:$C$204,$B9,Assessment!$D$5:$D$204,"Baseline",Assessment!$E$5:$E$204,"Independent",Assessment!$U$5:$U$204,"ELIGIBLE"),""))</x:f>
      </x:c>
      <x:c r="D9" s="29" t="str">
        <x:f>IF($A9="","",IF(COUNTIFS(Assessment!$B$5:$B$204,$A9,Assessment!$C$5:$C$204,$B9,Assessment!$D$5:$D$204,"Post",Assessment!$E$5:$E$204,"Independent",Assessment!$U$5:$U$204,"ELIGIBLE")=1,SUMIFS(Assessment!$N$5:$N$204,Assessment!$B$5:$B$204,$A9,Assessment!$C$5:$C$204,$B9,Assessment!$D$5:$D$204,"Post",Assessment!$E$5:$E$204,"Independent",Assessment!$U$5:$U$204,"ELIGIBLE"),""))</x:f>
      </x:c>
      <x:c r="E9" s="29" t="str">
        <x:f>IF($A9="","",IF(COUNTIFS(Assessment!$B$5:$B$204,$A9,Assessment!$C$5:$C$204,$B9,Assessment!$D$5:$D$204,"Delayed",Assessment!$E$5:$E$204,"Independent",Assessment!$U$5:$U$204,"ELIGIBLE")=1,SUMIFS(Assessment!$N$5:$N$204,Assessment!$B$5:$B$204,$A9,Assessment!$C$5:$C$204,$B9,Assessment!$D$5:$D$204,"Delayed",Assessment!$E$5:$E$204,"Independent",Assessment!$U$5:$U$204,"ELIGIBLE"),""))</x:f>
      </x:c>
      <x:c r="F9" s="29" t="str">
        <x:f>IF(A9="","",IF(AND(ISNUMBER(C9),ISNUMBER(D9)),D9-C9,""))</x:f>
      </x:c>
      <x:c r="G9" s="29" t="str">
        <x:f>IF($A9="","",IF(COUNTIFS(Assessment!$B$5:$B$204,$A9,Assessment!$C$5:$C$204,$B9,Assessment!$D$5:$D$204,"Post",Assessment!$E$5:$E$204,"Amplified",Assessment!$U$5:$U$204,"ELIGIBLE")=1,SUMIFS(Assessment!$N$5:$N$204,Assessment!$B$5:$B$204,$A9,Assessment!$C$5:$C$204,$B9,Assessment!$D$5:$D$204,"Post",Assessment!$E$5:$E$204,"Amplified",Assessment!$U$5:$U$204,"ELIGIBLE"),""))</x:f>
      </x:c>
      <x:c r="H9" s="26" t="str">
        <x:f>IF(A9="","",IF(ISNUMBER(D9),IF(ISNUMBER(C9),"POST COMPLETE / PAIRED","POST COMPLETE / UNPAIRED"),"POST MISSING"))</x:f>
      </x:c>
      <x:c r="I9" s="26" t="str">
        <x:f>IF(A9="","",IF(OR(COUNTIF($A$5:$A$44,A9)&gt;1,COUNTIFS(Assessment!$B$5:$B$204,A9,Assessment!$C$5:$C$204,B9,Assessment!$D$5:$D$204,"Baseline",Assessment!$E$5:$E$204,"Independent",Assessment!$U$5:$U$204,"ELIGIBLE")&gt;1,COUNTIFS(Assessment!$B$5:$B$204,A9,Assessment!$C$5:$C$204,B9,Assessment!$D$5:$D$204,"Post",Assessment!$E$5:$E$204,"Independent",Assessment!$U$5:$U$204,"ELIGIBLE")&gt;1,COUNTIFS(Assessment!$B$5:$B$204,A9,Assessment!$C$5:$C$204,B9,Assessment!$D$5:$D$204,"Delayed",Assessment!$E$5:$E$204,"Independent",Assessment!$U$5:$U$204,"ELIGIBLE")&gt;1,COUNTIFS(Assessment!$B$5:$B$204,A9,Assessment!$C$5:$C$204,B9,Assessment!$D$5:$D$204,"Post",Assessment!$E$5:$E$204,"Amplified",Assessment!$U$5:$U$204,"ELIGIBLE")&gt;1),"DUPLICATE / RESOLVE","UNIQUE"))</x:f>
      </x:c>
    </x:row>
    <x:row r="10" ht="32" customHeight="1">
      <x:c r="A10" s="21"/>
      <x:c r="B10" s="21"/>
      <x:c r="C10" s="29" t="str">
        <x:f>IF($A10="","",IF(COUNTIFS(Assessment!$B$5:$B$204,$A10,Assessment!$C$5:$C$204,$B10,Assessment!$D$5:$D$204,"Baseline",Assessment!$E$5:$E$204,"Independent",Assessment!$U$5:$U$204,"ELIGIBLE")=1,SUMIFS(Assessment!$N$5:$N$204,Assessment!$B$5:$B$204,$A10,Assessment!$C$5:$C$204,$B10,Assessment!$D$5:$D$204,"Baseline",Assessment!$E$5:$E$204,"Independent",Assessment!$U$5:$U$204,"ELIGIBLE"),""))</x:f>
      </x:c>
      <x:c r="D10" s="29" t="str">
        <x:f>IF($A10="","",IF(COUNTIFS(Assessment!$B$5:$B$204,$A10,Assessment!$C$5:$C$204,$B10,Assessment!$D$5:$D$204,"Post",Assessment!$E$5:$E$204,"Independent",Assessment!$U$5:$U$204,"ELIGIBLE")=1,SUMIFS(Assessment!$N$5:$N$204,Assessment!$B$5:$B$204,$A10,Assessment!$C$5:$C$204,$B10,Assessment!$D$5:$D$204,"Post",Assessment!$E$5:$E$204,"Independent",Assessment!$U$5:$U$204,"ELIGIBLE"),""))</x:f>
      </x:c>
      <x:c r="E10" s="29" t="str">
        <x:f>IF($A10="","",IF(COUNTIFS(Assessment!$B$5:$B$204,$A10,Assessment!$C$5:$C$204,$B10,Assessment!$D$5:$D$204,"Delayed",Assessment!$E$5:$E$204,"Independent",Assessment!$U$5:$U$204,"ELIGIBLE")=1,SUMIFS(Assessment!$N$5:$N$204,Assessment!$B$5:$B$204,$A10,Assessment!$C$5:$C$204,$B10,Assessment!$D$5:$D$204,"Delayed",Assessment!$E$5:$E$204,"Independent",Assessment!$U$5:$U$204,"ELIGIBLE"),""))</x:f>
      </x:c>
      <x:c r="F10" s="29" t="str">
        <x:f>IF(A10="","",IF(AND(ISNUMBER(C10),ISNUMBER(D10)),D10-C10,""))</x:f>
      </x:c>
      <x:c r="G10" s="29" t="str">
        <x:f>IF($A10="","",IF(COUNTIFS(Assessment!$B$5:$B$204,$A10,Assessment!$C$5:$C$204,$B10,Assessment!$D$5:$D$204,"Post",Assessment!$E$5:$E$204,"Amplified",Assessment!$U$5:$U$204,"ELIGIBLE")=1,SUMIFS(Assessment!$N$5:$N$204,Assessment!$B$5:$B$204,$A10,Assessment!$C$5:$C$204,$B10,Assessment!$D$5:$D$204,"Post",Assessment!$E$5:$E$204,"Amplified",Assessment!$U$5:$U$204,"ELIGIBLE"),""))</x:f>
      </x:c>
      <x:c r="H10" s="26" t="str">
        <x:f>IF(A10="","",IF(ISNUMBER(D10),IF(ISNUMBER(C10),"POST COMPLETE / PAIRED","POST COMPLETE / UNPAIRED"),"POST MISSING"))</x:f>
      </x:c>
      <x:c r="I10" s="26" t="str">
        <x:f>IF(A10="","",IF(OR(COUNTIF($A$5:$A$44,A10)&gt;1,COUNTIFS(Assessment!$B$5:$B$204,A10,Assessment!$C$5:$C$204,B10,Assessment!$D$5:$D$204,"Baseline",Assessment!$E$5:$E$204,"Independent",Assessment!$U$5:$U$204,"ELIGIBLE")&gt;1,COUNTIFS(Assessment!$B$5:$B$204,A10,Assessment!$C$5:$C$204,B10,Assessment!$D$5:$D$204,"Post",Assessment!$E$5:$E$204,"Independent",Assessment!$U$5:$U$204,"ELIGIBLE")&gt;1,COUNTIFS(Assessment!$B$5:$B$204,A10,Assessment!$C$5:$C$204,B10,Assessment!$D$5:$D$204,"Delayed",Assessment!$E$5:$E$204,"Independent",Assessment!$U$5:$U$204,"ELIGIBLE")&gt;1,COUNTIFS(Assessment!$B$5:$B$204,A10,Assessment!$C$5:$C$204,B10,Assessment!$D$5:$D$204,"Post",Assessment!$E$5:$E$204,"Amplified",Assessment!$U$5:$U$204,"ELIGIBLE")&gt;1),"DUPLICATE / RESOLVE","UNIQUE"))</x:f>
      </x:c>
    </x:row>
    <x:row r="11" ht="32" customHeight="1">
      <x:c r="A11" s="21"/>
      <x:c r="B11" s="21"/>
      <x:c r="C11" s="29" t="str">
        <x:f>IF($A11="","",IF(COUNTIFS(Assessment!$B$5:$B$204,$A11,Assessment!$C$5:$C$204,$B11,Assessment!$D$5:$D$204,"Baseline",Assessment!$E$5:$E$204,"Independent",Assessment!$U$5:$U$204,"ELIGIBLE")=1,SUMIFS(Assessment!$N$5:$N$204,Assessment!$B$5:$B$204,$A11,Assessment!$C$5:$C$204,$B11,Assessment!$D$5:$D$204,"Baseline",Assessment!$E$5:$E$204,"Independent",Assessment!$U$5:$U$204,"ELIGIBLE"),""))</x:f>
      </x:c>
      <x:c r="D11" s="29" t="str">
        <x:f>IF($A11="","",IF(COUNTIFS(Assessment!$B$5:$B$204,$A11,Assessment!$C$5:$C$204,$B11,Assessment!$D$5:$D$204,"Post",Assessment!$E$5:$E$204,"Independent",Assessment!$U$5:$U$204,"ELIGIBLE")=1,SUMIFS(Assessment!$N$5:$N$204,Assessment!$B$5:$B$204,$A11,Assessment!$C$5:$C$204,$B11,Assessment!$D$5:$D$204,"Post",Assessment!$E$5:$E$204,"Independent",Assessment!$U$5:$U$204,"ELIGIBLE"),""))</x:f>
      </x:c>
      <x:c r="E11" s="29" t="str">
        <x:f>IF($A11="","",IF(COUNTIFS(Assessment!$B$5:$B$204,$A11,Assessment!$C$5:$C$204,$B11,Assessment!$D$5:$D$204,"Delayed",Assessment!$E$5:$E$204,"Independent",Assessment!$U$5:$U$204,"ELIGIBLE")=1,SUMIFS(Assessment!$N$5:$N$204,Assessment!$B$5:$B$204,$A11,Assessment!$C$5:$C$204,$B11,Assessment!$D$5:$D$204,"Delayed",Assessment!$E$5:$E$204,"Independent",Assessment!$U$5:$U$204,"ELIGIBLE"),""))</x:f>
      </x:c>
      <x:c r="F11" s="29" t="str">
        <x:f>IF(A11="","",IF(AND(ISNUMBER(C11),ISNUMBER(D11)),D11-C11,""))</x:f>
      </x:c>
      <x:c r="G11" s="29" t="str">
        <x:f>IF($A11="","",IF(COUNTIFS(Assessment!$B$5:$B$204,$A11,Assessment!$C$5:$C$204,$B11,Assessment!$D$5:$D$204,"Post",Assessment!$E$5:$E$204,"Amplified",Assessment!$U$5:$U$204,"ELIGIBLE")=1,SUMIFS(Assessment!$N$5:$N$204,Assessment!$B$5:$B$204,$A11,Assessment!$C$5:$C$204,$B11,Assessment!$D$5:$D$204,"Post",Assessment!$E$5:$E$204,"Amplified",Assessment!$U$5:$U$204,"ELIGIBLE"),""))</x:f>
      </x:c>
      <x:c r="H11" s="26" t="str">
        <x:f>IF(A11="","",IF(ISNUMBER(D11),IF(ISNUMBER(C11),"POST COMPLETE / PAIRED","POST COMPLETE / UNPAIRED"),"POST MISSING"))</x:f>
      </x:c>
      <x:c r="I11" s="26" t="str">
        <x:f>IF(A11="","",IF(OR(COUNTIF($A$5:$A$44,A11)&gt;1,COUNTIFS(Assessment!$B$5:$B$204,A11,Assessment!$C$5:$C$204,B11,Assessment!$D$5:$D$204,"Baseline",Assessment!$E$5:$E$204,"Independent",Assessment!$U$5:$U$204,"ELIGIBLE")&gt;1,COUNTIFS(Assessment!$B$5:$B$204,A11,Assessment!$C$5:$C$204,B11,Assessment!$D$5:$D$204,"Post",Assessment!$E$5:$E$204,"Independent",Assessment!$U$5:$U$204,"ELIGIBLE")&gt;1,COUNTIFS(Assessment!$B$5:$B$204,A11,Assessment!$C$5:$C$204,B11,Assessment!$D$5:$D$204,"Delayed",Assessment!$E$5:$E$204,"Independent",Assessment!$U$5:$U$204,"ELIGIBLE")&gt;1,COUNTIFS(Assessment!$B$5:$B$204,A11,Assessment!$C$5:$C$204,B11,Assessment!$D$5:$D$204,"Post",Assessment!$E$5:$E$204,"Amplified",Assessment!$U$5:$U$204,"ELIGIBLE")&gt;1),"DUPLICATE / RESOLVE","UNIQUE"))</x:f>
      </x:c>
    </x:row>
    <x:row r="12" ht="32" customHeight="1">
      <x:c r="A12" s="21"/>
      <x:c r="B12" s="21"/>
      <x:c r="C12" s="29" t="str">
        <x:f>IF($A12="","",IF(COUNTIFS(Assessment!$B$5:$B$204,$A12,Assessment!$C$5:$C$204,$B12,Assessment!$D$5:$D$204,"Baseline",Assessment!$E$5:$E$204,"Independent",Assessment!$U$5:$U$204,"ELIGIBLE")=1,SUMIFS(Assessment!$N$5:$N$204,Assessment!$B$5:$B$204,$A12,Assessment!$C$5:$C$204,$B12,Assessment!$D$5:$D$204,"Baseline",Assessment!$E$5:$E$204,"Independent",Assessment!$U$5:$U$204,"ELIGIBLE"),""))</x:f>
      </x:c>
      <x:c r="D12" s="29" t="str">
        <x:f>IF($A12="","",IF(COUNTIFS(Assessment!$B$5:$B$204,$A12,Assessment!$C$5:$C$204,$B12,Assessment!$D$5:$D$204,"Post",Assessment!$E$5:$E$204,"Independent",Assessment!$U$5:$U$204,"ELIGIBLE")=1,SUMIFS(Assessment!$N$5:$N$204,Assessment!$B$5:$B$204,$A12,Assessment!$C$5:$C$204,$B12,Assessment!$D$5:$D$204,"Post",Assessment!$E$5:$E$204,"Independent",Assessment!$U$5:$U$204,"ELIGIBLE"),""))</x:f>
      </x:c>
      <x:c r="E12" s="29" t="str">
        <x:f>IF($A12="","",IF(COUNTIFS(Assessment!$B$5:$B$204,$A12,Assessment!$C$5:$C$204,$B12,Assessment!$D$5:$D$204,"Delayed",Assessment!$E$5:$E$204,"Independent",Assessment!$U$5:$U$204,"ELIGIBLE")=1,SUMIFS(Assessment!$N$5:$N$204,Assessment!$B$5:$B$204,$A12,Assessment!$C$5:$C$204,$B12,Assessment!$D$5:$D$204,"Delayed",Assessment!$E$5:$E$204,"Independent",Assessment!$U$5:$U$204,"ELIGIBLE"),""))</x:f>
      </x:c>
      <x:c r="F12" s="29" t="str">
        <x:f>IF(A12="","",IF(AND(ISNUMBER(C12),ISNUMBER(D12)),D12-C12,""))</x:f>
      </x:c>
      <x:c r="G12" s="29" t="str">
        <x:f>IF($A12="","",IF(COUNTIFS(Assessment!$B$5:$B$204,$A12,Assessment!$C$5:$C$204,$B12,Assessment!$D$5:$D$204,"Post",Assessment!$E$5:$E$204,"Amplified",Assessment!$U$5:$U$204,"ELIGIBLE")=1,SUMIFS(Assessment!$N$5:$N$204,Assessment!$B$5:$B$204,$A12,Assessment!$C$5:$C$204,$B12,Assessment!$D$5:$D$204,"Post",Assessment!$E$5:$E$204,"Amplified",Assessment!$U$5:$U$204,"ELIGIBLE"),""))</x:f>
      </x:c>
      <x:c r="H12" s="26" t="str">
        <x:f>IF(A12="","",IF(ISNUMBER(D12),IF(ISNUMBER(C12),"POST COMPLETE / PAIRED","POST COMPLETE / UNPAIRED"),"POST MISSING"))</x:f>
      </x:c>
      <x:c r="I12" s="26" t="str">
        <x:f>IF(A12="","",IF(OR(COUNTIF($A$5:$A$44,A12)&gt;1,COUNTIFS(Assessment!$B$5:$B$204,A12,Assessment!$C$5:$C$204,B12,Assessment!$D$5:$D$204,"Baseline",Assessment!$E$5:$E$204,"Independent",Assessment!$U$5:$U$204,"ELIGIBLE")&gt;1,COUNTIFS(Assessment!$B$5:$B$204,A12,Assessment!$C$5:$C$204,B12,Assessment!$D$5:$D$204,"Post",Assessment!$E$5:$E$204,"Independent",Assessment!$U$5:$U$204,"ELIGIBLE")&gt;1,COUNTIFS(Assessment!$B$5:$B$204,A12,Assessment!$C$5:$C$204,B12,Assessment!$D$5:$D$204,"Delayed",Assessment!$E$5:$E$204,"Independent",Assessment!$U$5:$U$204,"ELIGIBLE")&gt;1,COUNTIFS(Assessment!$B$5:$B$204,A12,Assessment!$C$5:$C$204,B12,Assessment!$D$5:$D$204,"Post",Assessment!$E$5:$E$204,"Amplified",Assessment!$U$5:$U$204,"ELIGIBLE")&gt;1),"DUPLICATE / RESOLVE","UNIQUE"))</x:f>
      </x:c>
    </x:row>
    <x:row r="13" ht="32" customHeight="1">
      <x:c r="A13" s="21"/>
      <x:c r="B13" s="21"/>
      <x:c r="C13" s="29" t="str">
        <x:f>IF($A13="","",IF(COUNTIFS(Assessment!$B$5:$B$204,$A13,Assessment!$C$5:$C$204,$B13,Assessment!$D$5:$D$204,"Baseline",Assessment!$E$5:$E$204,"Independent",Assessment!$U$5:$U$204,"ELIGIBLE")=1,SUMIFS(Assessment!$N$5:$N$204,Assessment!$B$5:$B$204,$A13,Assessment!$C$5:$C$204,$B13,Assessment!$D$5:$D$204,"Baseline",Assessment!$E$5:$E$204,"Independent",Assessment!$U$5:$U$204,"ELIGIBLE"),""))</x:f>
      </x:c>
      <x:c r="D13" s="29" t="str">
        <x:f>IF($A13="","",IF(COUNTIFS(Assessment!$B$5:$B$204,$A13,Assessment!$C$5:$C$204,$B13,Assessment!$D$5:$D$204,"Post",Assessment!$E$5:$E$204,"Independent",Assessment!$U$5:$U$204,"ELIGIBLE")=1,SUMIFS(Assessment!$N$5:$N$204,Assessment!$B$5:$B$204,$A13,Assessment!$C$5:$C$204,$B13,Assessment!$D$5:$D$204,"Post",Assessment!$E$5:$E$204,"Independent",Assessment!$U$5:$U$204,"ELIGIBLE"),""))</x:f>
      </x:c>
      <x:c r="E13" s="29" t="str">
        <x:f>IF($A13="","",IF(COUNTIFS(Assessment!$B$5:$B$204,$A13,Assessment!$C$5:$C$204,$B13,Assessment!$D$5:$D$204,"Delayed",Assessment!$E$5:$E$204,"Independent",Assessment!$U$5:$U$204,"ELIGIBLE")=1,SUMIFS(Assessment!$N$5:$N$204,Assessment!$B$5:$B$204,$A13,Assessment!$C$5:$C$204,$B13,Assessment!$D$5:$D$204,"Delayed",Assessment!$E$5:$E$204,"Independent",Assessment!$U$5:$U$204,"ELIGIBLE"),""))</x:f>
      </x:c>
      <x:c r="F13" s="29" t="str">
        <x:f>IF(A13="","",IF(AND(ISNUMBER(C13),ISNUMBER(D13)),D13-C13,""))</x:f>
      </x:c>
      <x:c r="G13" s="29" t="str">
        <x:f>IF($A13="","",IF(COUNTIFS(Assessment!$B$5:$B$204,$A13,Assessment!$C$5:$C$204,$B13,Assessment!$D$5:$D$204,"Post",Assessment!$E$5:$E$204,"Amplified",Assessment!$U$5:$U$204,"ELIGIBLE")=1,SUMIFS(Assessment!$N$5:$N$204,Assessment!$B$5:$B$204,$A13,Assessment!$C$5:$C$204,$B13,Assessment!$D$5:$D$204,"Post",Assessment!$E$5:$E$204,"Amplified",Assessment!$U$5:$U$204,"ELIGIBLE"),""))</x:f>
      </x:c>
      <x:c r="H13" s="26" t="str">
        <x:f>IF(A13="","",IF(ISNUMBER(D13),IF(ISNUMBER(C13),"POST COMPLETE / PAIRED","POST COMPLETE / UNPAIRED"),"POST MISSING"))</x:f>
      </x:c>
      <x:c r="I13" s="26" t="str">
        <x:f>IF(A13="","",IF(OR(COUNTIF($A$5:$A$44,A13)&gt;1,COUNTIFS(Assessment!$B$5:$B$204,A13,Assessment!$C$5:$C$204,B13,Assessment!$D$5:$D$204,"Baseline",Assessment!$E$5:$E$204,"Independent",Assessment!$U$5:$U$204,"ELIGIBLE")&gt;1,COUNTIFS(Assessment!$B$5:$B$204,A13,Assessment!$C$5:$C$204,B13,Assessment!$D$5:$D$204,"Post",Assessment!$E$5:$E$204,"Independent",Assessment!$U$5:$U$204,"ELIGIBLE")&gt;1,COUNTIFS(Assessment!$B$5:$B$204,A13,Assessment!$C$5:$C$204,B13,Assessment!$D$5:$D$204,"Delayed",Assessment!$E$5:$E$204,"Independent",Assessment!$U$5:$U$204,"ELIGIBLE")&gt;1,COUNTIFS(Assessment!$B$5:$B$204,A13,Assessment!$C$5:$C$204,B13,Assessment!$D$5:$D$204,"Post",Assessment!$E$5:$E$204,"Amplified",Assessment!$U$5:$U$204,"ELIGIBLE")&gt;1),"DUPLICATE / RESOLVE","UNIQUE"))</x:f>
      </x:c>
    </x:row>
    <x:row r="14" ht="32" customHeight="1">
      <x:c r="A14" s="21"/>
      <x:c r="B14" s="21"/>
      <x:c r="C14" s="29" t="str">
        <x:f>IF($A14="","",IF(COUNTIFS(Assessment!$B$5:$B$204,$A14,Assessment!$C$5:$C$204,$B14,Assessment!$D$5:$D$204,"Baseline",Assessment!$E$5:$E$204,"Independent",Assessment!$U$5:$U$204,"ELIGIBLE")=1,SUMIFS(Assessment!$N$5:$N$204,Assessment!$B$5:$B$204,$A14,Assessment!$C$5:$C$204,$B14,Assessment!$D$5:$D$204,"Baseline",Assessment!$E$5:$E$204,"Independent",Assessment!$U$5:$U$204,"ELIGIBLE"),""))</x:f>
      </x:c>
      <x:c r="D14" s="29" t="str">
        <x:f>IF($A14="","",IF(COUNTIFS(Assessment!$B$5:$B$204,$A14,Assessment!$C$5:$C$204,$B14,Assessment!$D$5:$D$204,"Post",Assessment!$E$5:$E$204,"Independent",Assessment!$U$5:$U$204,"ELIGIBLE")=1,SUMIFS(Assessment!$N$5:$N$204,Assessment!$B$5:$B$204,$A14,Assessment!$C$5:$C$204,$B14,Assessment!$D$5:$D$204,"Post",Assessment!$E$5:$E$204,"Independent",Assessment!$U$5:$U$204,"ELIGIBLE"),""))</x:f>
      </x:c>
      <x:c r="E14" s="29" t="str">
        <x:f>IF($A14="","",IF(COUNTIFS(Assessment!$B$5:$B$204,$A14,Assessment!$C$5:$C$204,$B14,Assessment!$D$5:$D$204,"Delayed",Assessment!$E$5:$E$204,"Independent",Assessment!$U$5:$U$204,"ELIGIBLE")=1,SUMIFS(Assessment!$N$5:$N$204,Assessment!$B$5:$B$204,$A14,Assessment!$C$5:$C$204,$B14,Assessment!$D$5:$D$204,"Delayed",Assessment!$E$5:$E$204,"Independent",Assessment!$U$5:$U$204,"ELIGIBLE"),""))</x:f>
      </x:c>
      <x:c r="F14" s="29" t="str">
        <x:f>IF(A14="","",IF(AND(ISNUMBER(C14),ISNUMBER(D14)),D14-C14,""))</x:f>
      </x:c>
      <x:c r="G14" s="29" t="str">
        <x:f>IF($A14="","",IF(COUNTIFS(Assessment!$B$5:$B$204,$A14,Assessment!$C$5:$C$204,$B14,Assessment!$D$5:$D$204,"Post",Assessment!$E$5:$E$204,"Amplified",Assessment!$U$5:$U$204,"ELIGIBLE")=1,SUMIFS(Assessment!$N$5:$N$204,Assessment!$B$5:$B$204,$A14,Assessment!$C$5:$C$204,$B14,Assessment!$D$5:$D$204,"Post",Assessment!$E$5:$E$204,"Amplified",Assessment!$U$5:$U$204,"ELIGIBLE"),""))</x:f>
      </x:c>
      <x:c r="H14" s="26" t="str">
        <x:f>IF(A14="","",IF(ISNUMBER(D14),IF(ISNUMBER(C14),"POST COMPLETE / PAIRED","POST COMPLETE / UNPAIRED"),"POST MISSING"))</x:f>
      </x:c>
      <x:c r="I14" s="26" t="str">
        <x:f>IF(A14="","",IF(OR(COUNTIF($A$5:$A$44,A14)&gt;1,COUNTIFS(Assessment!$B$5:$B$204,A14,Assessment!$C$5:$C$204,B14,Assessment!$D$5:$D$204,"Baseline",Assessment!$E$5:$E$204,"Independent",Assessment!$U$5:$U$204,"ELIGIBLE")&gt;1,COUNTIFS(Assessment!$B$5:$B$204,A14,Assessment!$C$5:$C$204,B14,Assessment!$D$5:$D$204,"Post",Assessment!$E$5:$E$204,"Independent",Assessment!$U$5:$U$204,"ELIGIBLE")&gt;1,COUNTIFS(Assessment!$B$5:$B$204,A14,Assessment!$C$5:$C$204,B14,Assessment!$D$5:$D$204,"Delayed",Assessment!$E$5:$E$204,"Independent",Assessment!$U$5:$U$204,"ELIGIBLE")&gt;1,COUNTIFS(Assessment!$B$5:$B$204,A14,Assessment!$C$5:$C$204,B14,Assessment!$D$5:$D$204,"Post",Assessment!$E$5:$E$204,"Amplified",Assessment!$U$5:$U$204,"ELIGIBLE")&gt;1),"DUPLICATE / RESOLVE","UNIQUE"))</x:f>
      </x:c>
    </x:row>
    <x:row r="15" ht="32" customHeight="1">
      <x:c r="A15" s="21"/>
      <x:c r="B15" s="21"/>
      <x:c r="C15" s="29" t="str">
        <x:f>IF($A15="","",IF(COUNTIFS(Assessment!$B$5:$B$204,$A15,Assessment!$C$5:$C$204,$B15,Assessment!$D$5:$D$204,"Baseline",Assessment!$E$5:$E$204,"Independent",Assessment!$U$5:$U$204,"ELIGIBLE")=1,SUMIFS(Assessment!$N$5:$N$204,Assessment!$B$5:$B$204,$A15,Assessment!$C$5:$C$204,$B15,Assessment!$D$5:$D$204,"Baseline",Assessment!$E$5:$E$204,"Independent",Assessment!$U$5:$U$204,"ELIGIBLE"),""))</x:f>
      </x:c>
      <x:c r="D15" s="29" t="str">
        <x:f>IF($A15="","",IF(COUNTIFS(Assessment!$B$5:$B$204,$A15,Assessment!$C$5:$C$204,$B15,Assessment!$D$5:$D$204,"Post",Assessment!$E$5:$E$204,"Independent",Assessment!$U$5:$U$204,"ELIGIBLE")=1,SUMIFS(Assessment!$N$5:$N$204,Assessment!$B$5:$B$204,$A15,Assessment!$C$5:$C$204,$B15,Assessment!$D$5:$D$204,"Post",Assessment!$E$5:$E$204,"Independent",Assessment!$U$5:$U$204,"ELIGIBLE"),""))</x:f>
      </x:c>
      <x:c r="E15" s="29" t="str">
        <x:f>IF($A15="","",IF(COUNTIFS(Assessment!$B$5:$B$204,$A15,Assessment!$C$5:$C$204,$B15,Assessment!$D$5:$D$204,"Delayed",Assessment!$E$5:$E$204,"Independent",Assessment!$U$5:$U$204,"ELIGIBLE")=1,SUMIFS(Assessment!$N$5:$N$204,Assessment!$B$5:$B$204,$A15,Assessment!$C$5:$C$204,$B15,Assessment!$D$5:$D$204,"Delayed",Assessment!$E$5:$E$204,"Independent",Assessment!$U$5:$U$204,"ELIGIBLE"),""))</x:f>
      </x:c>
      <x:c r="F15" s="29" t="str">
        <x:f>IF(A15="","",IF(AND(ISNUMBER(C15),ISNUMBER(D15)),D15-C15,""))</x:f>
      </x:c>
      <x:c r="G15" s="29" t="str">
        <x:f>IF($A15="","",IF(COUNTIFS(Assessment!$B$5:$B$204,$A15,Assessment!$C$5:$C$204,$B15,Assessment!$D$5:$D$204,"Post",Assessment!$E$5:$E$204,"Amplified",Assessment!$U$5:$U$204,"ELIGIBLE")=1,SUMIFS(Assessment!$N$5:$N$204,Assessment!$B$5:$B$204,$A15,Assessment!$C$5:$C$204,$B15,Assessment!$D$5:$D$204,"Post",Assessment!$E$5:$E$204,"Amplified",Assessment!$U$5:$U$204,"ELIGIBLE"),""))</x:f>
      </x:c>
      <x:c r="H15" s="26" t="str">
        <x:f>IF(A15="","",IF(ISNUMBER(D15),IF(ISNUMBER(C15),"POST COMPLETE / PAIRED","POST COMPLETE / UNPAIRED"),"POST MISSING"))</x:f>
      </x:c>
      <x:c r="I15" s="26" t="str">
        <x:f>IF(A15="","",IF(OR(COUNTIF($A$5:$A$44,A15)&gt;1,COUNTIFS(Assessment!$B$5:$B$204,A15,Assessment!$C$5:$C$204,B15,Assessment!$D$5:$D$204,"Baseline",Assessment!$E$5:$E$204,"Independent",Assessment!$U$5:$U$204,"ELIGIBLE")&gt;1,COUNTIFS(Assessment!$B$5:$B$204,A15,Assessment!$C$5:$C$204,B15,Assessment!$D$5:$D$204,"Post",Assessment!$E$5:$E$204,"Independent",Assessment!$U$5:$U$204,"ELIGIBLE")&gt;1,COUNTIFS(Assessment!$B$5:$B$204,A15,Assessment!$C$5:$C$204,B15,Assessment!$D$5:$D$204,"Delayed",Assessment!$E$5:$E$204,"Independent",Assessment!$U$5:$U$204,"ELIGIBLE")&gt;1,COUNTIFS(Assessment!$B$5:$B$204,A15,Assessment!$C$5:$C$204,B15,Assessment!$D$5:$D$204,"Post",Assessment!$E$5:$E$204,"Amplified",Assessment!$U$5:$U$204,"ELIGIBLE")&gt;1),"DUPLICATE / RESOLVE","UNIQUE"))</x:f>
      </x:c>
    </x:row>
    <x:row r="16" ht="32" customHeight="1">
      <x:c r="A16" s="21"/>
      <x:c r="B16" s="21"/>
      <x:c r="C16" s="29" t="str">
        <x:f>IF($A16="","",IF(COUNTIFS(Assessment!$B$5:$B$204,$A16,Assessment!$C$5:$C$204,$B16,Assessment!$D$5:$D$204,"Baseline",Assessment!$E$5:$E$204,"Independent",Assessment!$U$5:$U$204,"ELIGIBLE")=1,SUMIFS(Assessment!$N$5:$N$204,Assessment!$B$5:$B$204,$A16,Assessment!$C$5:$C$204,$B16,Assessment!$D$5:$D$204,"Baseline",Assessment!$E$5:$E$204,"Independent",Assessment!$U$5:$U$204,"ELIGIBLE"),""))</x:f>
      </x:c>
      <x:c r="D16" s="29" t="str">
        <x:f>IF($A16="","",IF(COUNTIFS(Assessment!$B$5:$B$204,$A16,Assessment!$C$5:$C$204,$B16,Assessment!$D$5:$D$204,"Post",Assessment!$E$5:$E$204,"Independent",Assessment!$U$5:$U$204,"ELIGIBLE")=1,SUMIFS(Assessment!$N$5:$N$204,Assessment!$B$5:$B$204,$A16,Assessment!$C$5:$C$204,$B16,Assessment!$D$5:$D$204,"Post",Assessment!$E$5:$E$204,"Independent",Assessment!$U$5:$U$204,"ELIGIBLE"),""))</x:f>
      </x:c>
      <x:c r="E16" s="29" t="str">
        <x:f>IF($A16="","",IF(COUNTIFS(Assessment!$B$5:$B$204,$A16,Assessment!$C$5:$C$204,$B16,Assessment!$D$5:$D$204,"Delayed",Assessment!$E$5:$E$204,"Independent",Assessment!$U$5:$U$204,"ELIGIBLE")=1,SUMIFS(Assessment!$N$5:$N$204,Assessment!$B$5:$B$204,$A16,Assessment!$C$5:$C$204,$B16,Assessment!$D$5:$D$204,"Delayed",Assessment!$E$5:$E$204,"Independent",Assessment!$U$5:$U$204,"ELIGIBLE"),""))</x:f>
      </x:c>
      <x:c r="F16" s="29" t="str">
        <x:f>IF(A16="","",IF(AND(ISNUMBER(C16),ISNUMBER(D16)),D16-C16,""))</x:f>
      </x:c>
      <x:c r="G16" s="29" t="str">
        <x:f>IF($A16="","",IF(COUNTIFS(Assessment!$B$5:$B$204,$A16,Assessment!$C$5:$C$204,$B16,Assessment!$D$5:$D$204,"Post",Assessment!$E$5:$E$204,"Amplified",Assessment!$U$5:$U$204,"ELIGIBLE")=1,SUMIFS(Assessment!$N$5:$N$204,Assessment!$B$5:$B$204,$A16,Assessment!$C$5:$C$204,$B16,Assessment!$D$5:$D$204,"Post",Assessment!$E$5:$E$204,"Amplified",Assessment!$U$5:$U$204,"ELIGIBLE"),""))</x:f>
      </x:c>
      <x:c r="H16" s="26" t="str">
        <x:f>IF(A16="","",IF(ISNUMBER(D16),IF(ISNUMBER(C16),"POST COMPLETE / PAIRED","POST COMPLETE / UNPAIRED"),"POST MISSING"))</x:f>
      </x:c>
      <x:c r="I16" s="26" t="str">
        <x:f>IF(A16="","",IF(OR(COUNTIF($A$5:$A$44,A16)&gt;1,COUNTIFS(Assessment!$B$5:$B$204,A16,Assessment!$C$5:$C$204,B16,Assessment!$D$5:$D$204,"Baseline",Assessment!$E$5:$E$204,"Independent",Assessment!$U$5:$U$204,"ELIGIBLE")&gt;1,COUNTIFS(Assessment!$B$5:$B$204,A16,Assessment!$C$5:$C$204,B16,Assessment!$D$5:$D$204,"Post",Assessment!$E$5:$E$204,"Independent",Assessment!$U$5:$U$204,"ELIGIBLE")&gt;1,COUNTIFS(Assessment!$B$5:$B$204,A16,Assessment!$C$5:$C$204,B16,Assessment!$D$5:$D$204,"Delayed",Assessment!$E$5:$E$204,"Independent",Assessment!$U$5:$U$204,"ELIGIBLE")&gt;1,COUNTIFS(Assessment!$B$5:$B$204,A16,Assessment!$C$5:$C$204,B16,Assessment!$D$5:$D$204,"Post",Assessment!$E$5:$E$204,"Amplified",Assessment!$U$5:$U$204,"ELIGIBLE")&gt;1),"DUPLICATE / RESOLVE","UNIQUE"))</x:f>
      </x:c>
    </x:row>
    <x:row r="17" ht="32" customHeight="1">
      <x:c r="A17" s="21"/>
      <x:c r="B17" s="21"/>
      <x:c r="C17" s="29" t="str">
        <x:f>IF($A17="","",IF(COUNTIFS(Assessment!$B$5:$B$204,$A17,Assessment!$C$5:$C$204,$B17,Assessment!$D$5:$D$204,"Baseline",Assessment!$E$5:$E$204,"Independent",Assessment!$U$5:$U$204,"ELIGIBLE")=1,SUMIFS(Assessment!$N$5:$N$204,Assessment!$B$5:$B$204,$A17,Assessment!$C$5:$C$204,$B17,Assessment!$D$5:$D$204,"Baseline",Assessment!$E$5:$E$204,"Independent",Assessment!$U$5:$U$204,"ELIGIBLE"),""))</x:f>
      </x:c>
      <x:c r="D17" s="29" t="str">
        <x:f>IF($A17="","",IF(COUNTIFS(Assessment!$B$5:$B$204,$A17,Assessment!$C$5:$C$204,$B17,Assessment!$D$5:$D$204,"Post",Assessment!$E$5:$E$204,"Independent",Assessment!$U$5:$U$204,"ELIGIBLE")=1,SUMIFS(Assessment!$N$5:$N$204,Assessment!$B$5:$B$204,$A17,Assessment!$C$5:$C$204,$B17,Assessment!$D$5:$D$204,"Post",Assessment!$E$5:$E$204,"Independent",Assessment!$U$5:$U$204,"ELIGIBLE"),""))</x:f>
      </x:c>
      <x:c r="E17" s="29" t="str">
        <x:f>IF($A17="","",IF(COUNTIFS(Assessment!$B$5:$B$204,$A17,Assessment!$C$5:$C$204,$B17,Assessment!$D$5:$D$204,"Delayed",Assessment!$E$5:$E$204,"Independent",Assessment!$U$5:$U$204,"ELIGIBLE")=1,SUMIFS(Assessment!$N$5:$N$204,Assessment!$B$5:$B$204,$A17,Assessment!$C$5:$C$204,$B17,Assessment!$D$5:$D$204,"Delayed",Assessment!$E$5:$E$204,"Independent",Assessment!$U$5:$U$204,"ELIGIBLE"),""))</x:f>
      </x:c>
      <x:c r="F17" s="29" t="str">
        <x:f>IF(A17="","",IF(AND(ISNUMBER(C17),ISNUMBER(D17)),D17-C17,""))</x:f>
      </x:c>
      <x:c r="G17" s="29" t="str">
        <x:f>IF($A17="","",IF(COUNTIFS(Assessment!$B$5:$B$204,$A17,Assessment!$C$5:$C$204,$B17,Assessment!$D$5:$D$204,"Post",Assessment!$E$5:$E$204,"Amplified",Assessment!$U$5:$U$204,"ELIGIBLE")=1,SUMIFS(Assessment!$N$5:$N$204,Assessment!$B$5:$B$204,$A17,Assessment!$C$5:$C$204,$B17,Assessment!$D$5:$D$204,"Post",Assessment!$E$5:$E$204,"Amplified",Assessment!$U$5:$U$204,"ELIGIBLE"),""))</x:f>
      </x:c>
      <x:c r="H17" s="26" t="str">
        <x:f>IF(A17="","",IF(ISNUMBER(D17),IF(ISNUMBER(C17),"POST COMPLETE / PAIRED","POST COMPLETE / UNPAIRED"),"POST MISSING"))</x:f>
      </x:c>
      <x:c r="I17" s="26" t="str">
        <x:f>IF(A17="","",IF(OR(COUNTIF($A$5:$A$44,A17)&gt;1,COUNTIFS(Assessment!$B$5:$B$204,A17,Assessment!$C$5:$C$204,B17,Assessment!$D$5:$D$204,"Baseline",Assessment!$E$5:$E$204,"Independent",Assessment!$U$5:$U$204,"ELIGIBLE")&gt;1,COUNTIFS(Assessment!$B$5:$B$204,A17,Assessment!$C$5:$C$204,B17,Assessment!$D$5:$D$204,"Post",Assessment!$E$5:$E$204,"Independent",Assessment!$U$5:$U$204,"ELIGIBLE")&gt;1,COUNTIFS(Assessment!$B$5:$B$204,A17,Assessment!$C$5:$C$204,B17,Assessment!$D$5:$D$204,"Delayed",Assessment!$E$5:$E$204,"Independent",Assessment!$U$5:$U$204,"ELIGIBLE")&gt;1,COUNTIFS(Assessment!$B$5:$B$204,A17,Assessment!$C$5:$C$204,B17,Assessment!$D$5:$D$204,"Post",Assessment!$E$5:$E$204,"Amplified",Assessment!$U$5:$U$204,"ELIGIBLE")&gt;1),"DUPLICATE / RESOLVE","UNIQUE"))</x:f>
      </x:c>
    </x:row>
    <x:row r="18" ht="32" customHeight="1">
      <x:c r="A18" s="21"/>
      <x:c r="B18" s="21"/>
      <x:c r="C18" s="29" t="str">
        <x:f>IF($A18="","",IF(COUNTIFS(Assessment!$B$5:$B$204,$A18,Assessment!$C$5:$C$204,$B18,Assessment!$D$5:$D$204,"Baseline",Assessment!$E$5:$E$204,"Independent",Assessment!$U$5:$U$204,"ELIGIBLE")=1,SUMIFS(Assessment!$N$5:$N$204,Assessment!$B$5:$B$204,$A18,Assessment!$C$5:$C$204,$B18,Assessment!$D$5:$D$204,"Baseline",Assessment!$E$5:$E$204,"Independent",Assessment!$U$5:$U$204,"ELIGIBLE"),""))</x:f>
      </x:c>
      <x:c r="D18" s="29" t="str">
        <x:f>IF($A18="","",IF(COUNTIFS(Assessment!$B$5:$B$204,$A18,Assessment!$C$5:$C$204,$B18,Assessment!$D$5:$D$204,"Post",Assessment!$E$5:$E$204,"Independent",Assessment!$U$5:$U$204,"ELIGIBLE")=1,SUMIFS(Assessment!$N$5:$N$204,Assessment!$B$5:$B$204,$A18,Assessment!$C$5:$C$204,$B18,Assessment!$D$5:$D$204,"Post",Assessment!$E$5:$E$204,"Independent",Assessment!$U$5:$U$204,"ELIGIBLE"),""))</x:f>
      </x:c>
      <x:c r="E18" s="29" t="str">
        <x:f>IF($A18="","",IF(COUNTIFS(Assessment!$B$5:$B$204,$A18,Assessment!$C$5:$C$204,$B18,Assessment!$D$5:$D$204,"Delayed",Assessment!$E$5:$E$204,"Independent",Assessment!$U$5:$U$204,"ELIGIBLE")=1,SUMIFS(Assessment!$N$5:$N$204,Assessment!$B$5:$B$204,$A18,Assessment!$C$5:$C$204,$B18,Assessment!$D$5:$D$204,"Delayed",Assessment!$E$5:$E$204,"Independent",Assessment!$U$5:$U$204,"ELIGIBLE"),""))</x:f>
      </x:c>
      <x:c r="F18" s="29" t="str">
        <x:f>IF(A18="","",IF(AND(ISNUMBER(C18),ISNUMBER(D18)),D18-C18,""))</x:f>
      </x:c>
      <x:c r="G18" s="29" t="str">
        <x:f>IF($A18="","",IF(COUNTIFS(Assessment!$B$5:$B$204,$A18,Assessment!$C$5:$C$204,$B18,Assessment!$D$5:$D$204,"Post",Assessment!$E$5:$E$204,"Amplified",Assessment!$U$5:$U$204,"ELIGIBLE")=1,SUMIFS(Assessment!$N$5:$N$204,Assessment!$B$5:$B$204,$A18,Assessment!$C$5:$C$204,$B18,Assessment!$D$5:$D$204,"Post",Assessment!$E$5:$E$204,"Amplified",Assessment!$U$5:$U$204,"ELIGIBLE"),""))</x:f>
      </x:c>
      <x:c r="H18" s="26" t="str">
        <x:f>IF(A18="","",IF(ISNUMBER(D18),IF(ISNUMBER(C18),"POST COMPLETE / PAIRED","POST COMPLETE / UNPAIRED"),"POST MISSING"))</x:f>
      </x:c>
      <x:c r="I18" s="26" t="str">
        <x:f>IF(A18="","",IF(OR(COUNTIF($A$5:$A$44,A18)&gt;1,COUNTIFS(Assessment!$B$5:$B$204,A18,Assessment!$C$5:$C$204,B18,Assessment!$D$5:$D$204,"Baseline",Assessment!$E$5:$E$204,"Independent",Assessment!$U$5:$U$204,"ELIGIBLE")&gt;1,COUNTIFS(Assessment!$B$5:$B$204,A18,Assessment!$C$5:$C$204,B18,Assessment!$D$5:$D$204,"Post",Assessment!$E$5:$E$204,"Independent",Assessment!$U$5:$U$204,"ELIGIBLE")&gt;1,COUNTIFS(Assessment!$B$5:$B$204,A18,Assessment!$C$5:$C$204,B18,Assessment!$D$5:$D$204,"Delayed",Assessment!$E$5:$E$204,"Independent",Assessment!$U$5:$U$204,"ELIGIBLE")&gt;1,COUNTIFS(Assessment!$B$5:$B$204,A18,Assessment!$C$5:$C$204,B18,Assessment!$D$5:$D$204,"Post",Assessment!$E$5:$E$204,"Amplified",Assessment!$U$5:$U$204,"ELIGIBLE")&gt;1),"DUPLICATE / RESOLVE","UNIQUE"))</x:f>
      </x:c>
    </x:row>
    <x:row r="19" ht="32" customHeight="1">
      <x:c r="A19" s="21"/>
      <x:c r="B19" s="21"/>
      <x:c r="C19" s="29" t="str">
        <x:f>IF($A19="","",IF(COUNTIFS(Assessment!$B$5:$B$204,$A19,Assessment!$C$5:$C$204,$B19,Assessment!$D$5:$D$204,"Baseline",Assessment!$E$5:$E$204,"Independent",Assessment!$U$5:$U$204,"ELIGIBLE")=1,SUMIFS(Assessment!$N$5:$N$204,Assessment!$B$5:$B$204,$A19,Assessment!$C$5:$C$204,$B19,Assessment!$D$5:$D$204,"Baseline",Assessment!$E$5:$E$204,"Independent",Assessment!$U$5:$U$204,"ELIGIBLE"),""))</x:f>
      </x:c>
      <x:c r="D19" s="29" t="str">
        <x:f>IF($A19="","",IF(COUNTIFS(Assessment!$B$5:$B$204,$A19,Assessment!$C$5:$C$204,$B19,Assessment!$D$5:$D$204,"Post",Assessment!$E$5:$E$204,"Independent",Assessment!$U$5:$U$204,"ELIGIBLE")=1,SUMIFS(Assessment!$N$5:$N$204,Assessment!$B$5:$B$204,$A19,Assessment!$C$5:$C$204,$B19,Assessment!$D$5:$D$204,"Post",Assessment!$E$5:$E$204,"Independent",Assessment!$U$5:$U$204,"ELIGIBLE"),""))</x:f>
      </x:c>
      <x:c r="E19" s="29" t="str">
        <x:f>IF($A19="","",IF(COUNTIFS(Assessment!$B$5:$B$204,$A19,Assessment!$C$5:$C$204,$B19,Assessment!$D$5:$D$204,"Delayed",Assessment!$E$5:$E$204,"Independent",Assessment!$U$5:$U$204,"ELIGIBLE")=1,SUMIFS(Assessment!$N$5:$N$204,Assessment!$B$5:$B$204,$A19,Assessment!$C$5:$C$204,$B19,Assessment!$D$5:$D$204,"Delayed",Assessment!$E$5:$E$204,"Independent",Assessment!$U$5:$U$204,"ELIGIBLE"),""))</x:f>
      </x:c>
      <x:c r="F19" s="29" t="str">
        <x:f>IF(A19="","",IF(AND(ISNUMBER(C19),ISNUMBER(D19)),D19-C19,""))</x:f>
      </x:c>
      <x:c r="G19" s="29" t="str">
        <x:f>IF($A19="","",IF(COUNTIFS(Assessment!$B$5:$B$204,$A19,Assessment!$C$5:$C$204,$B19,Assessment!$D$5:$D$204,"Post",Assessment!$E$5:$E$204,"Amplified",Assessment!$U$5:$U$204,"ELIGIBLE")=1,SUMIFS(Assessment!$N$5:$N$204,Assessment!$B$5:$B$204,$A19,Assessment!$C$5:$C$204,$B19,Assessment!$D$5:$D$204,"Post",Assessment!$E$5:$E$204,"Amplified",Assessment!$U$5:$U$204,"ELIGIBLE"),""))</x:f>
      </x:c>
      <x:c r="H19" s="26" t="str">
        <x:f>IF(A19="","",IF(ISNUMBER(D19),IF(ISNUMBER(C19),"POST COMPLETE / PAIRED","POST COMPLETE / UNPAIRED"),"POST MISSING"))</x:f>
      </x:c>
      <x:c r="I19" s="26" t="str">
        <x:f>IF(A19="","",IF(OR(COUNTIF($A$5:$A$44,A19)&gt;1,COUNTIFS(Assessment!$B$5:$B$204,A19,Assessment!$C$5:$C$204,B19,Assessment!$D$5:$D$204,"Baseline",Assessment!$E$5:$E$204,"Independent",Assessment!$U$5:$U$204,"ELIGIBLE")&gt;1,COUNTIFS(Assessment!$B$5:$B$204,A19,Assessment!$C$5:$C$204,B19,Assessment!$D$5:$D$204,"Post",Assessment!$E$5:$E$204,"Independent",Assessment!$U$5:$U$204,"ELIGIBLE")&gt;1,COUNTIFS(Assessment!$B$5:$B$204,A19,Assessment!$C$5:$C$204,B19,Assessment!$D$5:$D$204,"Delayed",Assessment!$E$5:$E$204,"Independent",Assessment!$U$5:$U$204,"ELIGIBLE")&gt;1,COUNTIFS(Assessment!$B$5:$B$204,A19,Assessment!$C$5:$C$204,B19,Assessment!$D$5:$D$204,"Post",Assessment!$E$5:$E$204,"Amplified",Assessment!$U$5:$U$204,"ELIGIBLE")&gt;1),"DUPLICATE / RESOLVE","UNIQUE"))</x:f>
      </x:c>
    </x:row>
    <x:row r="20" ht="32" customHeight="1">
      <x:c r="A20" s="21"/>
      <x:c r="B20" s="21"/>
      <x:c r="C20" s="29" t="str">
        <x:f>IF($A20="","",IF(COUNTIFS(Assessment!$B$5:$B$204,$A20,Assessment!$C$5:$C$204,$B20,Assessment!$D$5:$D$204,"Baseline",Assessment!$E$5:$E$204,"Independent",Assessment!$U$5:$U$204,"ELIGIBLE")=1,SUMIFS(Assessment!$N$5:$N$204,Assessment!$B$5:$B$204,$A20,Assessment!$C$5:$C$204,$B20,Assessment!$D$5:$D$204,"Baseline",Assessment!$E$5:$E$204,"Independent",Assessment!$U$5:$U$204,"ELIGIBLE"),""))</x:f>
      </x:c>
      <x:c r="D20" s="29" t="str">
        <x:f>IF($A20="","",IF(COUNTIFS(Assessment!$B$5:$B$204,$A20,Assessment!$C$5:$C$204,$B20,Assessment!$D$5:$D$204,"Post",Assessment!$E$5:$E$204,"Independent",Assessment!$U$5:$U$204,"ELIGIBLE")=1,SUMIFS(Assessment!$N$5:$N$204,Assessment!$B$5:$B$204,$A20,Assessment!$C$5:$C$204,$B20,Assessment!$D$5:$D$204,"Post",Assessment!$E$5:$E$204,"Independent",Assessment!$U$5:$U$204,"ELIGIBLE"),""))</x:f>
      </x:c>
      <x:c r="E20" s="29" t="str">
        <x:f>IF($A20="","",IF(COUNTIFS(Assessment!$B$5:$B$204,$A20,Assessment!$C$5:$C$204,$B20,Assessment!$D$5:$D$204,"Delayed",Assessment!$E$5:$E$204,"Independent",Assessment!$U$5:$U$204,"ELIGIBLE")=1,SUMIFS(Assessment!$N$5:$N$204,Assessment!$B$5:$B$204,$A20,Assessment!$C$5:$C$204,$B20,Assessment!$D$5:$D$204,"Delayed",Assessment!$E$5:$E$204,"Independent",Assessment!$U$5:$U$204,"ELIGIBLE"),""))</x:f>
      </x:c>
      <x:c r="F20" s="29" t="str">
        <x:f>IF(A20="","",IF(AND(ISNUMBER(C20),ISNUMBER(D20)),D20-C20,""))</x:f>
      </x:c>
      <x:c r="G20" s="29" t="str">
        <x:f>IF($A20="","",IF(COUNTIFS(Assessment!$B$5:$B$204,$A20,Assessment!$C$5:$C$204,$B20,Assessment!$D$5:$D$204,"Post",Assessment!$E$5:$E$204,"Amplified",Assessment!$U$5:$U$204,"ELIGIBLE")=1,SUMIFS(Assessment!$N$5:$N$204,Assessment!$B$5:$B$204,$A20,Assessment!$C$5:$C$204,$B20,Assessment!$D$5:$D$204,"Post",Assessment!$E$5:$E$204,"Amplified",Assessment!$U$5:$U$204,"ELIGIBLE"),""))</x:f>
      </x:c>
      <x:c r="H20" s="26" t="str">
        <x:f>IF(A20="","",IF(ISNUMBER(D20),IF(ISNUMBER(C20),"POST COMPLETE / PAIRED","POST COMPLETE / UNPAIRED"),"POST MISSING"))</x:f>
      </x:c>
      <x:c r="I20" s="26" t="str">
        <x:f>IF(A20="","",IF(OR(COUNTIF($A$5:$A$44,A20)&gt;1,COUNTIFS(Assessment!$B$5:$B$204,A20,Assessment!$C$5:$C$204,B20,Assessment!$D$5:$D$204,"Baseline",Assessment!$E$5:$E$204,"Independent",Assessment!$U$5:$U$204,"ELIGIBLE")&gt;1,COUNTIFS(Assessment!$B$5:$B$204,A20,Assessment!$C$5:$C$204,B20,Assessment!$D$5:$D$204,"Post",Assessment!$E$5:$E$204,"Independent",Assessment!$U$5:$U$204,"ELIGIBLE")&gt;1,COUNTIFS(Assessment!$B$5:$B$204,A20,Assessment!$C$5:$C$204,B20,Assessment!$D$5:$D$204,"Delayed",Assessment!$E$5:$E$204,"Independent",Assessment!$U$5:$U$204,"ELIGIBLE")&gt;1,COUNTIFS(Assessment!$B$5:$B$204,A20,Assessment!$C$5:$C$204,B20,Assessment!$D$5:$D$204,"Post",Assessment!$E$5:$E$204,"Amplified",Assessment!$U$5:$U$204,"ELIGIBLE")&gt;1),"DUPLICATE / RESOLVE","UNIQUE"))</x:f>
      </x:c>
    </x:row>
    <x:row r="21" ht="32" customHeight="1">
      <x:c r="A21" s="21"/>
      <x:c r="B21" s="21"/>
      <x:c r="C21" s="29" t="str">
        <x:f>IF($A21="","",IF(COUNTIFS(Assessment!$B$5:$B$204,$A21,Assessment!$C$5:$C$204,$B21,Assessment!$D$5:$D$204,"Baseline",Assessment!$E$5:$E$204,"Independent",Assessment!$U$5:$U$204,"ELIGIBLE")=1,SUMIFS(Assessment!$N$5:$N$204,Assessment!$B$5:$B$204,$A21,Assessment!$C$5:$C$204,$B21,Assessment!$D$5:$D$204,"Baseline",Assessment!$E$5:$E$204,"Independent",Assessment!$U$5:$U$204,"ELIGIBLE"),""))</x:f>
      </x:c>
      <x:c r="D21" s="29" t="str">
        <x:f>IF($A21="","",IF(COUNTIFS(Assessment!$B$5:$B$204,$A21,Assessment!$C$5:$C$204,$B21,Assessment!$D$5:$D$204,"Post",Assessment!$E$5:$E$204,"Independent",Assessment!$U$5:$U$204,"ELIGIBLE")=1,SUMIFS(Assessment!$N$5:$N$204,Assessment!$B$5:$B$204,$A21,Assessment!$C$5:$C$204,$B21,Assessment!$D$5:$D$204,"Post",Assessment!$E$5:$E$204,"Independent",Assessment!$U$5:$U$204,"ELIGIBLE"),""))</x:f>
      </x:c>
      <x:c r="E21" s="29" t="str">
        <x:f>IF($A21="","",IF(COUNTIFS(Assessment!$B$5:$B$204,$A21,Assessment!$C$5:$C$204,$B21,Assessment!$D$5:$D$204,"Delayed",Assessment!$E$5:$E$204,"Independent",Assessment!$U$5:$U$204,"ELIGIBLE")=1,SUMIFS(Assessment!$N$5:$N$204,Assessment!$B$5:$B$204,$A21,Assessment!$C$5:$C$204,$B21,Assessment!$D$5:$D$204,"Delayed",Assessment!$E$5:$E$204,"Independent",Assessment!$U$5:$U$204,"ELIGIBLE"),""))</x:f>
      </x:c>
      <x:c r="F21" s="29" t="str">
        <x:f>IF(A21="","",IF(AND(ISNUMBER(C21),ISNUMBER(D21)),D21-C21,""))</x:f>
      </x:c>
      <x:c r="G21" s="29" t="str">
        <x:f>IF($A21="","",IF(COUNTIFS(Assessment!$B$5:$B$204,$A21,Assessment!$C$5:$C$204,$B21,Assessment!$D$5:$D$204,"Post",Assessment!$E$5:$E$204,"Amplified",Assessment!$U$5:$U$204,"ELIGIBLE")=1,SUMIFS(Assessment!$N$5:$N$204,Assessment!$B$5:$B$204,$A21,Assessment!$C$5:$C$204,$B21,Assessment!$D$5:$D$204,"Post",Assessment!$E$5:$E$204,"Amplified",Assessment!$U$5:$U$204,"ELIGIBLE"),""))</x:f>
      </x:c>
      <x:c r="H21" s="26" t="str">
        <x:f>IF(A21="","",IF(ISNUMBER(D21),IF(ISNUMBER(C21),"POST COMPLETE / PAIRED","POST COMPLETE / UNPAIRED"),"POST MISSING"))</x:f>
      </x:c>
      <x:c r="I21" s="26" t="str">
        <x:f>IF(A21="","",IF(OR(COUNTIF($A$5:$A$44,A21)&gt;1,COUNTIFS(Assessment!$B$5:$B$204,A21,Assessment!$C$5:$C$204,B21,Assessment!$D$5:$D$204,"Baseline",Assessment!$E$5:$E$204,"Independent",Assessment!$U$5:$U$204,"ELIGIBLE")&gt;1,COUNTIFS(Assessment!$B$5:$B$204,A21,Assessment!$C$5:$C$204,B21,Assessment!$D$5:$D$204,"Post",Assessment!$E$5:$E$204,"Independent",Assessment!$U$5:$U$204,"ELIGIBLE")&gt;1,COUNTIFS(Assessment!$B$5:$B$204,A21,Assessment!$C$5:$C$204,B21,Assessment!$D$5:$D$204,"Delayed",Assessment!$E$5:$E$204,"Independent",Assessment!$U$5:$U$204,"ELIGIBLE")&gt;1,COUNTIFS(Assessment!$B$5:$B$204,A21,Assessment!$C$5:$C$204,B21,Assessment!$D$5:$D$204,"Post",Assessment!$E$5:$E$204,"Amplified",Assessment!$U$5:$U$204,"ELIGIBLE")&gt;1),"DUPLICATE / RESOLVE","UNIQUE"))</x:f>
      </x:c>
    </x:row>
    <x:row r="22" ht="32" customHeight="1">
      <x:c r="A22" s="21"/>
      <x:c r="B22" s="21"/>
      <x:c r="C22" s="29" t="str">
        <x:f>IF($A22="","",IF(COUNTIFS(Assessment!$B$5:$B$204,$A22,Assessment!$C$5:$C$204,$B22,Assessment!$D$5:$D$204,"Baseline",Assessment!$E$5:$E$204,"Independent",Assessment!$U$5:$U$204,"ELIGIBLE")=1,SUMIFS(Assessment!$N$5:$N$204,Assessment!$B$5:$B$204,$A22,Assessment!$C$5:$C$204,$B22,Assessment!$D$5:$D$204,"Baseline",Assessment!$E$5:$E$204,"Independent",Assessment!$U$5:$U$204,"ELIGIBLE"),""))</x:f>
      </x:c>
      <x:c r="D22" s="29" t="str">
        <x:f>IF($A22="","",IF(COUNTIFS(Assessment!$B$5:$B$204,$A22,Assessment!$C$5:$C$204,$B22,Assessment!$D$5:$D$204,"Post",Assessment!$E$5:$E$204,"Independent",Assessment!$U$5:$U$204,"ELIGIBLE")=1,SUMIFS(Assessment!$N$5:$N$204,Assessment!$B$5:$B$204,$A22,Assessment!$C$5:$C$204,$B22,Assessment!$D$5:$D$204,"Post",Assessment!$E$5:$E$204,"Independent",Assessment!$U$5:$U$204,"ELIGIBLE"),""))</x:f>
      </x:c>
      <x:c r="E22" s="29" t="str">
        <x:f>IF($A22="","",IF(COUNTIFS(Assessment!$B$5:$B$204,$A22,Assessment!$C$5:$C$204,$B22,Assessment!$D$5:$D$204,"Delayed",Assessment!$E$5:$E$204,"Independent",Assessment!$U$5:$U$204,"ELIGIBLE")=1,SUMIFS(Assessment!$N$5:$N$204,Assessment!$B$5:$B$204,$A22,Assessment!$C$5:$C$204,$B22,Assessment!$D$5:$D$204,"Delayed",Assessment!$E$5:$E$204,"Independent",Assessment!$U$5:$U$204,"ELIGIBLE"),""))</x:f>
      </x:c>
      <x:c r="F22" s="29" t="str">
        <x:f>IF(A22="","",IF(AND(ISNUMBER(C22),ISNUMBER(D22)),D22-C22,""))</x:f>
      </x:c>
      <x:c r="G22" s="29" t="str">
        <x:f>IF($A22="","",IF(COUNTIFS(Assessment!$B$5:$B$204,$A22,Assessment!$C$5:$C$204,$B22,Assessment!$D$5:$D$204,"Post",Assessment!$E$5:$E$204,"Amplified",Assessment!$U$5:$U$204,"ELIGIBLE")=1,SUMIFS(Assessment!$N$5:$N$204,Assessment!$B$5:$B$204,$A22,Assessment!$C$5:$C$204,$B22,Assessment!$D$5:$D$204,"Post",Assessment!$E$5:$E$204,"Amplified",Assessment!$U$5:$U$204,"ELIGIBLE"),""))</x:f>
      </x:c>
      <x:c r="H22" s="26" t="str">
        <x:f>IF(A22="","",IF(ISNUMBER(D22),IF(ISNUMBER(C22),"POST COMPLETE / PAIRED","POST COMPLETE / UNPAIRED"),"POST MISSING"))</x:f>
      </x:c>
      <x:c r="I22" s="26" t="str">
        <x:f>IF(A22="","",IF(OR(COUNTIF($A$5:$A$44,A22)&gt;1,COUNTIFS(Assessment!$B$5:$B$204,A22,Assessment!$C$5:$C$204,B22,Assessment!$D$5:$D$204,"Baseline",Assessment!$E$5:$E$204,"Independent",Assessment!$U$5:$U$204,"ELIGIBLE")&gt;1,COUNTIFS(Assessment!$B$5:$B$204,A22,Assessment!$C$5:$C$204,B22,Assessment!$D$5:$D$204,"Post",Assessment!$E$5:$E$204,"Independent",Assessment!$U$5:$U$204,"ELIGIBLE")&gt;1,COUNTIFS(Assessment!$B$5:$B$204,A22,Assessment!$C$5:$C$204,B22,Assessment!$D$5:$D$204,"Delayed",Assessment!$E$5:$E$204,"Independent",Assessment!$U$5:$U$204,"ELIGIBLE")&gt;1,COUNTIFS(Assessment!$B$5:$B$204,A22,Assessment!$C$5:$C$204,B22,Assessment!$D$5:$D$204,"Post",Assessment!$E$5:$E$204,"Amplified",Assessment!$U$5:$U$204,"ELIGIBLE")&gt;1),"DUPLICATE / RESOLVE","UNIQUE"))</x:f>
      </x:c>
    </x:row>
    <x:row r="23" ht="32" customHeight="1">
      <x:c r="A23" s="21"/>
      <x:c r="B23" s="21"/>
      <x:c r="C23" s="29" t="str">
        <x:f>IF($A23="","",IF(COUNTIFS(Assessment!$B$5:$B$204,$A23,Assessment!$C$5:$C$204,$B23,Assessment!$D$5:$D$204,"Baseline",Assessment!$E$5:$E$204,"Independent",Assessment!$U$5:$U$204,"ELIGIBLE")=1,SUMIFS(Assessment!$N$5:$N$204,Assessment!$B$5:$B$204,$A23,Assessment!$C$5:$C$204,$B23,Assessment!$D$5:$D$204,"Baseline",Assessment!$E$5:$E$204,"Independent",Assessment!$U$5:$U$204,"ELIGIBLE"),""))</x:f>
      </x:c>
      <x:c r="D23" s="29" t="str">
        <x:f>IF($A23="","",IF(COUNTIFS(Assessment!$B$5:$B$204,$A23,Assessment!$C$5:$C$204,$B23,Assessment!$D$5:$D$204,"Post",Assessment!$E$5:$E$204,"Independent",Assessment!$U$5:$U$204,"ELIGIBLE")=1,SUMIFS(Assessment!$N$5:$N$204,Assessment!$B$5:$B$204,$A23,Assessment!$C$5:$C$204,$B23,Assessment!$D$5:$D$204,"Post",Assessment!$E$5:$E$204,"Independent",Assessment!$U$5:$U$204,"ELIGIBLE"),""))</x:f>
      </x:c>
      <x:c r="E23" s="29" t="str">
        <x:f>IF($A23="","",IF(COUNTIFS(Assessment!$B$5:$B$204,$A23,Assessment!$C$5:$C$204,$B23,Assessment!$D$5:$D$204,"Delayed",Assessment!$E$5:$E$204,"Independent",Assessment!$U$5:$U$204,"ELIGIBLE")=1,SUMIFS(Assessment!$N$5:$N$204,Assessment!$B$5:$B$204,$A23,Assessment!$C$5:$C$204,$B23,Assessment!$D$5:$D$204,"Delayed",Assessment!$E$5:$E$204,"Independent",Assessment!$U$5:$U$204,"ELIGIBLE"),""))</x:f>
      </x:c>
      <x:c r="F23" s="29" t="str">
        <x:f>IF(A23="","",IF(AND(ISNUMBER(C23),ISNUMBER(D23)),D23-C23,""))</x:f>
      </x:c>
      <x:c r="G23" s="29" t="str">
        <x:f>IF($A23="","",IF(COUNTIFS(Assessment!$B$5:$B$204,$A23,Assessment!$C$5:$C$204,$B23,Assessment!$D$5:$D$204,"Post",Assessment!$E$5:$E$204,"Amplified",Assessment!$U$5:$U$204,"ELIGIBLE")=1,SUMIFS(Assessment!$N$5:$N$204,Assessment!$B$5:$B$204,$A23,Assessment!$C$5:$C$204,$B23,Assessment!$D$5:$D$204,"Post",Assessment!$E$5:$E$204,"Amplified",Assessment!$U$5:$U$204,"ELIGIBLE"),""))</x:f>
      </x:c>
      <x:c r="H23" s="26" t="str">
        <x:f>IF(A23="","",IF(ISNUMBER(D23),IF(ISNUMBER(C23),"POST COMPLETE / PAIRED","POST COMPLETE / UNPAIRED"),"POST MISSING"))</x:f>
      </x:c>
      <x:c r="I23" s="26" t="str">
        <x:f>IF(A23="","",IF(OR(COUNTIF($A$5:$A$44,A23)&gt;1,COUNTIFS(Assessment!$B$5:$B$204,A23,Assessment!$C$5:$C$204,B23,Assessment!$D$5:$D$204,"Baseline",Assessment!$E$5:$E$204,"Independent",Assessment!$U$5:$U$204,"ELIGIBLE")&gt;1,COUNTIFS(Assessment!$B$5:$B$204,A23,Assessment!$C$5:$C$204,B23,Assessment!$D$5:$D$204,"Post",Assessment!$E$5:$E$204,"Independent",Assessment!$U$5:$U$204,"ELIGIBLE")&gt;1,COUNTIFS(Assessment!$B$5:$B$204,A23,Assessment!$C$5:$C$204,B23,Assessment!$D$5:$D$204,"Delayed",Assessment!$E$5:$E$204,"Independent",Assessment!$U$5:$U$204,"ELIGIBLE")&gt;1,COUNTIFS(Assessment!$B$5:$B$204,A23,Assessment!$C$5:$C$204,B23,Assessment!$D$5:$D$204,"Post",Assessment!$E$5:$E$204,"Amplified",Assessment!$U$5:$U$204,"ELIGIBLE")&gt;1),"DUPLICATE / RESOLVE","UNIQUE"))</x:f>
      </x:c>
    </x:row>
    <x:row r="24" ht="32" customHeight="1">
      <x:c r="A24" s="21"/>
      <x:c r="B24" s="21"/>
      <x:c r="C24" s="29" t="str">
        <x:f>IF($A24="","",IF(COUNTIFS(Assessment!$B$5:$B$204,$A24,Assessment!$C$5:$C$204,$B24,Assessment!$D$5:$D$204,"Baseline",Assessment!$E$5:$E$204,"Independent",Assessment!$U$5:$U$204,"ELIGIBLE")=1,SUMIFS(Assessment!$N$5:$N$204,Assessment!$B$5:$B$204,$A24,Assessment!$C$5:$C$204,$B24,Assessment!$D$5:$D$204,"Baseline",Assessment!$E$5:$E$204,"Independent",Assessment!$U$5:$U$204,"ELIGIBLE"),""))</x:f>
      </x:c>
      <x:c r="D24" s="29" t="str">
        <x:f>IF($A24="","",IF(COUNTIFS(Assessment!$B$5:$B$204,$A24,Assessment!$C$5:$C$204,$B24,Assessment!$D$5:$D$204,"Post",Assessment!$E$5:$E$204,"Independent",Assessment!$U$5:$U$204,"ELIGIBLE")=1,SUMIFS(Assessment!$N$5:$N$204,Assessment!$B$5:$B$204,$A24,Assessment!$C$5:$C$204,$B24,Assessment!$D$5:$D$204,"Post",Assessment!$E$5:$E$204,"Independent",Assessment!$U$5:$U$204,"ELIGIBLE"),""))</x:f>
      </x:c>
      <x:c r="E24" s="29" t="str">
        <x:f>IF($A24="","",IF(COUNTIFS(Assessment!$B$5:$B$204,$A24,Assessment!$C$5:$C$204,$B24,Assessment!$D$5:$D$204,"Delayed",Assessment!$E$5:$E$204,"Independent",Assessment!$U$5:$U$204,"ELIGIBLE")=1,SUMIFS(Assessment!$N$5:$N$204,Assessment!$B$5:$B$204,$A24,Assessment!$C$5:$C$204,$B24,Assessment!$D$5:$D$204,"Delayed",Assessment!$E$5:$E$204,"Independent",Assessment!$U$5:$U$204,"ELIGIBLE"),""))</x:f>
      </x:c>
      <x:c r="F24" s="29" t="str">
        <x:f>IF(A24="","",IF(AND(ISNUMBER(C24),ISNUMBER(D24)),D24-C24,""))</x:f>
      </x:c>
      <x:c r="G24" s="29" t="str">
        <x:f>IF($A24="","",IF(COUNTIFS(Assessment!$B$5:$B$204,$A24,Assessment!$C$5:$C$204,$B24,Assessment!$D$5:$D$204,"Post",Assessment!$E$5:$E$204,"Amplified",Assessment!$U$5:$U$204,"ELIGIBLE")=1,SUMIFS(Assessment!$N$5:$N$204,Assessment!$B$5:$B$204,$A24,Assessment!$C$5:$C$204,$B24,Assessment!$D$5:$D$204,"Post",Assessment!$E$5:$E$204,"Amplified",Assessment!$U$5:$U$204,"ELIGIBLE"),""))</x:f>
      </x:c>
      <x:c r="H24" s="26" t="str">
        <x:f>IF(A24="","",IF(ISNUMBER(D24),IF(ISNUMBER(C24),"POST COMPLETE / PAIRED","POST COMPLETE / UNPAIRED"),"POST MISSING"))</x:f>
      </x:c>
      <x:c r="I24" s="26" t="str">
        <x:f>IF(A24="","",IF(OR(COUNTIF($A$5:$A$44,A24)&gt;1,COUNTIFS(Assessment!$B$5:$B$204,A24,Assessment!$C$5:$C$204,B24,Assessment!$D$5:$D$204,"Baseline",Assessment!$E$5:$E$204,"Independent",Assessment!$U$5:$U$204,"ELIGIBLE")&gt;1,COUNTIFS(Assessment!$B$5:$B$204,A24,Assessment!$C$5:$C$204,B24,Assessment!$D$5:$D$204,"Post",Assessment!$E$5:$E$204,"Independent",Assessment!$U$5:$U$204,"ELIGIBLE")&gt;1,COUNTIFS(Assessment!$B$5:$B$204,A24,Assessment!$C$5:$C$204,B24,Assessment!$D$5:$D$204,"Delayed",Assessment!$E$5:$E$204,"Independent",Assessment!$U$5:$U$204,"ELIGIBLE")&gt;1,COUNTIFS(Assessment!$B$5:$B$204,A24,Assessment!$C$5:$C$204,B24,Assessment!$D$5:$D$204,"Post",Assessment!$E$5:$E$204,"Amplified",Assessment!$U$5:$U$204,"ELIGIBLE")&gt;1),"DUPLICATE / RESOLVE","UNIQUE"))</x:f>
      </x:c>
    </x:row>
    <x:row r="25" ht="32" customHeight="1">
      <x:c r="A25" s="21"/>
      <x:c r="B25" s="21"/>
      <x:c r="C25" s="29" t="str">
        <x:f>IF($A25="","",IF(COUNTIFS(Assessment!$B$5:$B$204,$A25,Assessment!$C$5:$C$204,$B25,Assessment!$D$5:$D$204,"Baseline",Assessment!$E$5:$E$204,"Independent",Assessment!$U$5:$U$204,"ELIGIBLE")=1,SUMIFS(Assessment!$N$5:$N$204,Assessment!$B$5:$B$204,$A25,Assessment!$C$5:$C$204,$B25,Assessment!$D$5:$D$204,"Baseline",Assessment!$E$5:$E$204,"Independent",Assessment!$U$5:$U$204,"ELIGIBLE"),""))</x:f>
      </x:c>
      <x:c r="D25" s="29" t="str">
        <x:f>IF($A25="","",IF(COUNTIFS(Assessment!$B$5:$B$204,$A25,Assessment!$C$5:$C$204,$B25,Assessment!$D$5:$D$204,"Post",Assessment!$E$5:$E$204,"Independent",Assessment!$U$5:$U$204,"ELIGIBLE")=1,SUMIFS(Assessment!$N$5:$N$204,Assessment!$B$5:$B$204,$A25,Assessment!$C$5:$C$204,$B25,Assessment!$D$5:$D$204,"Post",Assessment!$E$5:$E$204,"Independent",Assessment!$U$5:$U$204,"ELIGIBLE"),""))</x:f>
      </x:c>
      <x:c r="E25" s="29" t="str">
        <x:f>IF($A25="","",IF(COUNTIFS(Assessment!$B$5:$B$204,$A25,Assessment!$C$5:$C$204,$B25,Assessment!$D$5:$D$204,"Delayed",Assessment!$E$5:$E$204,"Independent",Assessment!$U$5:$U$204,"ELIGIBLE")=1,SUMIFS(Assessment!$N$5:$N$204,Assessment!$B$5:$B$204,$A25,Assessment!$C$5:$C$204,$B25,Assessment!$D$5:$D$204,"Delayed",Assessment!$E$5:$E$204,"Independent",Assessment!$U$5:$U$204,"ELIGIBLE"),""))</x:f>
      </x:c>
      <x:c r="F25" s="29" t="str">
        <x:f>IF(A25="","",IF(AND(ISNUMBER(C25),ISNUMBER(D25)),D25-C25,""))</x:f>
      </x:c>
      <x:c r="G25" s="29" t="str">
        <x:f>IF($A25="","",IF(COUNTIFS(Assessment!$B$5:$B$204,$A25,Assessment!$C$5:$C$204,$B25,Assessment!$D$5:$D$204,"Post",Assessment!$E$5:$E$204,"Amplified",Assessment!$U$5:$U$204,"ELIGIBLE")=1,SUMIFS(Assessment!$N$5:$N$204,Assessment!$B$5:$B$204,$A25,Assessment!$C$5:$C$204,$B25,Assessment!$D$5:$D$204,"Post",Assessment!$E$5:$E$204,"Amplified",Assessment!$U$5:$U$204,"ELIGIBLE"),""))</x:f>
      </x:c>
      <x:c r="H25" s="26" t="str">
        <x:f>IF(A25="","",IF(ISNUMBER(D25),IF(ISNUMBER(C25),"POST COMPLETE / PAIRED","POST COMPLETE / UNPAIRED"),"POST MISSING"))</x:f>
      </x:c>
      <x:c r="I25" s="26" t="str">
        <x:f>IF(A25="","",IF(OR(COUNTIF($A$5:$A$44,A25)&gt;1,COUNTIFS(Assessment!$B$5:$B$204,A25,Assessment!$C$5:$C$204,B25,Assessment!$D$5:$D$204,"Baseline",Assessment!$E$5:$E$204,"Independent",Assessment!$U$5:$U$204,"ELIGIBLE")&gt;1,COUNTIFS(Assessment!$B$5:$B$204,A25,Assessment!$C$5:$C$204,B25,Assessment!$D$5:$D$204,"Post",Assessment!$E$5:$E$204,"Independent",Assessment!$U$5:$U$204,"ELIGIBLE")&gt;1,COUNTIFS(Assessment!$B$5:$B$204,A25,Assessment!$C$5:$C$204,B25,Assessment!$D$5:$D$204,"Delayed",Assessment!$E$5:$E$204,"Independent",Assessment!$U$5:$U$204,"ELIGIBLE")&gt;1,COUNTIFS(Assessment!$B$5:$B$204,A25,Assessment!$C$5:$C$204,B25,Assessment!$D$5:$D$204,"Post",Assessment!$E$5:$E$204,"Amplified",Assessment!$U$5:$U$204,"ELIGIBLE")&gt;1),"DUPLICATE / RESOLVE","UNIQUE"))</x:f>
      </x:c>
    </x:row>
    <x:row r="26" ht="32" customHeight="1">
      <x:c r="A26" s="21"/>
      <x:c r="B26" s="21"/>
      <x:c r="C26" s="29" t="str">
        <x:f>IF($A26="","",IF(COUNTIFS(Assessment!$B$5:$B$204,$A26,Assessment!$C$5:$C$204,$B26,Assessment!$D$5:$D$204,"Baseline",Assessment!$E$5:$E$204,"Independent",Assessment!$U$5:$U$204,"ELIGIBLE")=1,SUMIFS(Assessment!$N$5:$N$204,Assessment!$B$5:$B$204,$A26,Assessment!$C$5:$C$204,$B26,Assessment!$D$5:$D$204,"Baseline",Assessment!$E$5:$E$204,"Independent",Assessment!$U$5:$U$204,"ELIGIBLE"),""))</x:f>
      </x:c>
      <x:c r="D26" s="29" t="str">
        <x:f>IF($A26="","",IF(COUNTIFS(Assessment!$B$5:$B$204,$A26,Assessment!$C$5:$C$204,$B26,Assessment!$D$5:$D$204,"Post",Assessment!$E$5:$E$204,"Independent",Assessment!$U$5:$U$204,"ELIGIBLE")=1,SUMIFS(Assessment!$N$5:$N$204,Assessment!$B$5:$B$204,$A26,Assessment!$C$5:$C$204,$B26,Assessment!$D$5:$D$204,"Post",Assessment!$E$5:$E$204,"Independent",Assessment!$U$5:$U$204,"ELIGIBLE"),""))</x:f>
      </x:c>
      <x:c r="E26" s="29" t="str">
        <x:f>IF($A26="","",IF(COUNTIFS(Assessment!$B$5:$B$204,$A26,Assessment!$C$5:$C$204,$B26,Assessment!$D$5:$D$204,"Delayed",Assessment!$E$5:$E$204,"Independent",Assessment!$U$5:$U$204,"ELIGIBLE")=1,SUMIFS(Assessment!$N$5:$N$204,Assessment!$B$5:$B$204,$A26,Assessment!$C$5:$C$204,$B26,Assessment!$D$5:$D$204,"Delayed",Assessment!$E$5:$E$204,"Independent",Assessment!$U$5:$U$204,"ELIGIBLE"),""))</x:f>
      </x:c>
      <x:c r="F26" s="29" t="str">
        <x:f>IF(A26="","",IF(AND(ISNUMBER(C26),ISNUMBER(D26)),D26-C26,""))</x:f>
      </x:c>
      <x:c r="G26" s="29" t="str">
        <x:f>IF($A26="","",IF(COUNTIFS(Assessment!$B$5:$B$204,$A26,Assessment!$C$5:$C$204,$B26,Assessment!$D$5:$D$204,"Post",Assessment!$E$5:$E$204,"Amplified",Assessment!$U$5:$U$204,"ELIGIBLE")=1,SUMIFS(Assessment!$N$5:$N$204,Assessment!$B$5:$B$204,$A26,Assessment!$C$5:$C$204,$B26,Assessment!$D$5:$D$204,"Post",Assessment!$E$5:$E$204,"Amplified",Assessment!$U$5:$U$204,"ELIGIBLE"),""))</x:f>
      </x:c>
      <x:c r="H26" s="26" t="str">
        <x:f>IF(A26="","",IF(ISNUMBER(D26),IF(ISNUMBER(C26),"POST COMPLETE / PAIRED","POST COMPLETE / UNPAIRED"),"POST MISSING"))</x:f>
      </x:c>
      <x:c r="I26" s="26" t="str">
        <x:f>IF(A26="","",IF(OR(COUNTIF($A$5:$A$44,A26)&gt;1,COUNTIFS(Assessment!$B$5:$B$204,A26,Assessment!$C$5:$C$204,B26,Assessment!$D$5:$D$204,"Baseline",Assessment!$E$5:$E$204,"Independent",Assessment!$U$5:$U$204,"ELIGIBLE")&gt;1,COUNTIFS(Assessment!$B$5:$B$204,A26,Assessment!$C$5:$C$204,B26,Assessment!$D$5:$D$204,"Post",Assessment!$E$5:$E$204,"Independent",Assessment!$U$5:$U$204,"ELIGIBLE")&gt;1,COUNTIFS(Assessment!$B$5:$B$204,A26,Assessment!$C$5:$C$204,B26,Assessment!$D$5:$D$204,"Delayed",Assessment!$E$5:$E$204,"Independent",Assessment!$U$5:$U$204,"ELIGIBLE")&gt;1,COUNTIFS(Assessment!$B$5:$B$204,A26,Assessment!$C$5:$C$204,B26,Assessment!$D$5:$D$204,"Post",Assessment!$E$5:$E$204,"Amplified",Assessment!$U$5:$U$204,"ELIGIBLE")&gt;1),"DUPLICATE / RESOLVE","UNIQUE"))</x:f>
      </x:c>
    </x:row>
    <x:row r="27" ht="32" customHeight="1">
      <x:c r="A27" s="21"/>
      <x:c r="B27" s="21"/>
      <x:c r="C27" s="29" t="str">
        <x:f>IF($A27="","",IF(COUNTIFS(Assessment!$B$5:$B$204,$A27,Assessment!$C$5:$C$204,$B27,Assessment!$D$5:$D$204,"Baseline",Assessment!$E$5:$E$204,"Independent",Assessment!$U$5:$U$204,"ELIGIBLE")=1,SUMIFS(Assessment!$N$5:$N$204,Assessment!$B$5:$B$204,$A27,Assessment!$C$5:$C$204,$B27,Assessment!$D$5:$D$204,"Baseline",Assessment!$E$5:$E$204,"Independent",Assessment!$U$5:$U$204,"ELIGIBLE"),""))</x:f>
      </x:c>
      <x:c r="D27" s="29" t="str">
        <x:f>IF($A27="","",IF(COUNTIFS(Assessment!$B$5:$B$204,$A27,Assessment!$C$5:$C$204,$B27,Assessment!$D$5:$D$204,"Post",Assessment!$E$5:$E$204,"Independent",Assessment!$U$5:$U$204,"ELIGIBLE")=1,SUMIFS(Assessment!$N$5:$N$204,Assessment!$B$5:$B$204,$A27,Assessment!$C$5:$C$204,$B27,Assessment!$D$5:$D$204,"Post",Assessment!$E$5:$E$204,"Independent",Assessment!$U$5:$U$204,"ELIGIBLE"),""))</x:f>
      </x:c>
      <x:c r="E27" s="29" t="str">
        <x:f>IF($A27="","",IF(COUNTIFS(Assessment!$B$5:$B$204,$A27,Assessment!$C$5:$C$204,$B27,Assessment!$D$5:$D$204,"Delayed",Assessment!$E$5:$E$204,"Independent",Assessment!$U$5:$U$204,"ELIGIBLE")=1,SUMIFS(Assessment!$N$5:$N$204,Assessment!$B$5:$B$204,$A27,Assessment!$C$5:$C$204,$B27,Assessment!$D$5:$D$204,"Delayed",Assessment!$E$5:$E$204,"Independent",Assessment!$U$5:$U$204,"ELIGIBLE"),""))</x:f>
      </x:c>
      <x:c r="F27" s="29" t="str">
        <x:f>IF(A27="","",IF(AND(ISNUMBER(C27),ISNUMBER(D27)),D27-C27,""))</x:f>
      </x:c>
      <x:c r="G27" s="29" t="str">
        <x:f>IF($A27="","",IF(COUNTIFS(Assessment!$B$5:$B$204,$A27,Assessment!$C$5:$C$204,$B27,Assessment!$D$5:$D$204,"Post",Assessment!$E$5:$E$204,"Amplified",Assessment!$U$5:$U$204,"ELIGIBLE")=1,SUMIFS(Assessment!$N$5:$N$204,Assessment!$B$5:$B$204,$A27,Assessment!$C$5:$C$204,$B27,Assessment!$D$5:$D$204,"Post",Assessment!$E$5:$E$204,"Amplified",Assessment!$U$5:$U$204,"ELIGIBLE"),""))</x:f>
      </x:c>
      <x:c r="H27" s="26" t="str">
        <x:f>IF(A27="","",IF(ISNUMBER(D27),IF(ISNUMBER(C27),"POST COMPLETE / PAIRED","POST COMPLETE / UNPAIRED"),"POST MISSING"))</x:f>
      </x:c>
      <x:c r="I27" s="26" t="str">
        <x:f>IF(A27="","",IF(OR(COUNTIF($A$5:$A$44,A27)&gt;1,COUNTIFS(Assessment!$B$5:$B$204,A27,Assessment!$C$5:$C$204,B27,Assessment!$D$5:$D$204,"Baseline",Assessment!$E$5:$E$204,"Independent",Assessment!$U$5:$U$204,"ELIGIBLE")&gt;1,COUNTIFS(Assessment!$B$5:$B$204,A27,Assessment!$C$5:$C$204,B27,Assessment!$D$5:$D$204,"Post",Assessment!$E$5:$E$204,"Independent",Assessment!$U$5:$U$204,"ELIGIBLE")&gt;1,COUNTIFS(Assessment!$B$5:$B$204,A27,Assessment!$C$5:$C$204,B27,Assessment!$D$5:$D$204,"Delayed",Assessment!$E$5:$E$204,"Independent",Assessment!$U$5:$U$204,"ELIGIBLE")&gt;1,COUNTIFS(Assessment!$B$5:$B$204,A27,Assessment!$C$5:$C$204,B27,Assessment!$D$5:$D$204,"Post",Assessment!$E$5:$E$204,"Amplified",Assessment!$U$5:$U$204,"ELIGIBLE")&gt;1),"DUPLICATE / RESOLVE","UNIQUE"))</x:f>
      </x:c>
    </x:row>
    <x:row r="28" ht="32" customHeight="1">
      <x:c r="A28" s="21"/>
      <x:c r="B28" s="21"/>
      <x:c r="C28" s="29" t="str">
        <x:f>IF($A28="","",IF(COUNTIFS(Assessment!$B$5:$B$204,$A28,Assessment!$C$5:$C$204,$B28,Assessment!$D$5:$D$204,"Baseline",Assessment!$E$5:$E$204,"Independent",Assessment!$U$5:$U$204,"ELIGIBLE")=1,SUMIFS(Assessment!$N$5:$N$204,Assessment!$B$5:$B$204,$A28,Assessment!$C$5:$C$204,$B28,Assessment!$D$5:$D$204,"Baseline",Assessment!$E$5:$E$204,"Independent",Assessment!$U$5:$U$204,"ELIGIBLE"),""))</x:f>
      </x:c>
      <x:c r="D28" s="29" t="str">
        <x:f>IF($A28="","",IF(COUNTIFS(Assessment!$B$5:$B$204,$A28,Assessment!$C$5:$C$204,$B28,Assessment!$D$5:$D$204,"Post",Assessment!$E$5:$E$204,"Independent",Assessment!$U$5:$U$204,"ELIGIBLE")=1,SUMIFS(Assessment!$N$5:$N$204,Assessment!$B$5:$B$204,$A28,Assessment!$C$5:$C$204,$B28,Assessment!$D$5:$D$204,"Post",Assessment!$E$5:$E$204,"Independent",Assessment!$U$5:$U$204,"ELIGIBLE"),""))</x:f>
      </x:c>
      <x:c r="E28" s="29" t="str">
        <x:f>IF($A28="","",IF(COUNTIFS(Assessment!$B$5:$B$204,$A28,Assessment!$C$5:$C$204,$B28,Assessment!$D$5:$D$204,"Delayed",Assessment!$E$5:$E$204,"Independent",Assessment!$U$5:$U$204,"ELIGIBLE")=1,SUMIFS(Assessment!$N$5:$N$204,Assessment!$B$5:$B$204,$A28,Assessment!$C$5:$C$204,$B28,Assessment!$D$5:$D$204,"Delayed",Assessment!$E$5:$E$204,"Independent",Assessment!$U$5:$U$204,"ELIGIBLE"),""))</x:f>
      </x:c>
      <x:c r="F28" s="29" t="str">
        <x:f>IF(A28="","",IF(AND(ISNUMBER(C28),ISNUMBER(D28)),D28-C28,""))</x:f>
      </x:c>
      <x:c r="G28" s="29" t="str">
        <x:f>IF($A28="","",IF(COUNTIFS(Assessment!$B$5:$B$204,$A28,Assessment!$C$5:$C$204,$B28,Assessment!$D$5:$D$204,"Post",Assessment!$E$5:$E$204,"Amplified",Assessment!$U$5:$U$204,"ELIGIBLE")=1,SUMIFS(Assessment!$N$5:$N$204,Assessment!$B$5:$B$204,$A28,Assessment!$C$5:$C$204,$B28,Assessment!$D$5:$D$204,"Post",Assessment!$E$5:$E$204,"Amplified",Assessment!$U$5:$U$204,"ELIGIBLE"),""))</x:f>
      </x:c>
      <x:c r="H28" s="26" t="str">
        <x:f>IF(A28="","",IF(ISNUMBER(D28),IF(ISNUMBER(C28),"POST COMPLETE / PAIRED","POST COMPLETE / UNPAIRED"),"POST MISSING"))</x:f>
      </x:c>
      <x:c r="I28" s="26" t="str">
        <x:f>IF(A28="","",IF(OR(COUNTIF($A$5:$A$44,A28)&gt;1,COUNTIFS(Assessment!$B$5:$B$204,A28,Assessment!$C$5:$C$204,B28,Assessment!$D$5:$D$204,"Baseline",Assessment!$E$5:$E$204,"Independent",Assessment!$U$5:$U$204,"ELIGIBLE")&gt;1,COUNTIFS(Assessment!$B$5:$B$204,A28,Assessment!$C$5:$C$204,B28,Assessment!$D$5:$D$204,"Post",Assessment!$E$5:$E$204,"Independent",Assessment!$U$5:$U$204,"ELIGIBLE")&gt;1,COUNTIFS(Assessment!$B$5:$B$204,A28,Assessment!$C$5:$C$204,B28,Assessment!$D$5:$D$204,"Delayed",Assessment!$E$5:$E$204,"Independent",Assessment!$U$5:$U$204,"ELIGIBLE")&gt;1,COUNTIFS(Assessment!$B$5:$B$204,A28,Assessment!$C$5:$C$204,B28,Assessment!$D$5:$D$204,"Post",Assessment!$E$5:$E$204,"Amplified",Assessment!$U$5:$U$204,"ELIGIBLE")&gt;1),"DUPLICATE / RESOLVE","UNIQUE"))</x:f>
      </x:c>
    </x:row>
    <x:row r="29" ht="32" customHeight="1">
      <x:c r="A29" s="21"/>
      <x:c r="B29" s="21"/>
      <x:c r="C29" s="29" t="str">
        <x:f>IF($A29="","",IF(COUNTIFS(Assessment!$B$5:$B$204,$A29,Assessment!$C$5:$C$204,$B29,Assessment!$D$5:$D$204,"Baseline",Assessment!$E$5:$E$204,"Independent",Assessment!$U$5:$U$204,"ELIGIBLE")=1,SUMIFS(Assessment!$N$5:$N$204,Assessment!$B$5:$B$204,$A29,Assessment!$C$5:$C$204,$B29,Assessment!$D$5:$D$204,"Baseline",Assessment!$E$5:$E$204,"Independent",Assessment!$U$5:$U$204,"ELIGIBLE"),""))</x:f>
      </x:c>
      <x:c r="D29" s="29" t="str">
        <x:f>IF($A29="","",IF(COUNTIFS(Assessment!$B$5:$B$204,$A29,Assessment!$C$5:$C$204,$B29,Assessment!$D$5:$D$204,"Post",Assessment!$E$5:$E$204,"Independent",Assessment!$U$5:$U$204,"ELIGIBLE")=1,SUMIFS(Assessment!$N$5:$N$204,Assessment!$B$5:$B$204,$A29,Assessment!$C$5:$C$204,$B29,Assessment!$D$5:$D$204,"Post",Assessment!$E$5:$E$204,"Independent",Assessment!$U$5:$U$204,"ELIGIBLE"),""))</x:f>
      </x:c>
      <x:c r="E29" s="29" t="str">
        <x:f>IF($A29="","",IF(COUNTIFS(Assessment!$B$5:$B$204,$A29,Assessment!$C$5:$C$204,$B29,Assessment!$D$5:$D$204,"Delayed",Assessment!$E$5:$E$204,"Independent",Assessment!$U$5:$U$204,"ELIGIBLE")=1,SUMIFS(Assessment!$N$5:$N$204,Assessment!$B$5:$B$204,$A29,Assessment!$C$5:$C$204,$B29,Assessment!$D$5:$D$204,"Delayed",Assessment!$E$5:$E$204,"Independent",Assessment!$U$5:$U$204,"ELIGIBLE"),""))</x:f>
      </x:c>
      <x:c r="F29" s="29" t="str">
        <x:f>IF(A29="","",IF(AND(ISNUMBER(C29),ISNUMBER(D29)),D29-C29,""))</x:f>
      </x:c>
      <x:c r="G29" s="29" t="str">
        <x:f>IF($A29="","",IF(COUNTIFS(Assessment!$B$5:$B$204,$A29,Assessment!$C$5:$C$204,$B29,Assessment!$D$5:$D$204,"Post",Assessment!$E$5:$E$204,"Amplified",Assessment!$U$5:$U$204,"ELIGIBLE")=1,SUMIFS(Assessment!$N$5:$N$204,Assessment!$B$5:$B$204,$A29,Assessment!$C$5:$C$204,$B29,Assessment!$D$5:$D$204,"Post",Assessment!$E$5:$E$204,"Amplified",Assessment!$U$5:$U$204,"ELIGIBLE"),""))</x:f>
      </x:c>
      <x:c r="H29" s="26" t="str">
        <x:f>IF(A29="","",IF(ISNUMBER(D29),IF(ISNUMBER(C29),"POST COMPLETE / PAIRED","POST COMPLETE / UNPAIRED"),"POST MISSING"))</x:f>
      </x:c>
      <x:c r="I29" s="26" t="str">
        <x:f>IF(A29="","",IF(OR(COUNTIF($A$5:$A$44,A29)&gt;1,COUNTIFS(Assessment!$B$5:$B$204,A29,Assessment!$C$5:$C$204,B29,Assessment!$D$5:$D$204,"Baseline",Assessment!$E$5:$E$204,"Independent",Assessment!$U$5:$U$204,"ELIGIBLE")&gt;1,COUNTIFS(Assessment!$B$5:$B$204,A29,Assessment!$C$5:$C$204,B29,Assessment!$D$5:$D$204,"Post",Assessment!$E$5:$E$204,"Independent",Assessment!$U$5:$U$204,"ELIGIBLE")&gt;1,COUNTIFS(Assessment!$B$5:$B$204,A29,Assessment!$C$5:$C$204,B29,Assessment!$D$5:$D$204,"Delayed",Assessment!$E$5:$E$204,"Independent",Assessment!$U$5:$U$204,"ELIGIBLE")&gt;1,COUNTIFS(Assessment!$B$5:$B$204,A29,Assessment!$C$5:$C$204,B29,Assessment!$D$5:$D$204,"Post",Assessment!$E$5:$E$204,"Amplified",Assessment!$U$5:$U$204,"ELIGIBLE")&gt;1),"DUPLICATE / RESOLVE","UNIQUE"))</x:f>
      </x:c>
    </x:row>
    <x:row r="30" ht="32" customHeight="1">
      <x:c r="A30" s="21"/>
      <x:c r="B30" s="21"/>
      <x:c r="C30" s="29" t="str">
        <x:f>IF($A30="","",IF(COUNTIFS(Assessment!$B$5:$B$204,$A30,Assessment!$C$5:$C$204,$B30,Assessment!$D$5:$D$204,"Baseline",Assessment!$E$5:$E$204,"Independent",Assessment!$U$5:$U$204,"ELIGIBLE")=1,SUMIFS(Assessment!$N$5:$N$204,Assessment!$B$5:$B$204,$A30,Assessment!$C$5:$C$204,$B30,Assessment!$D$5:$D$204,"Baseline",Assessment!$E$5:$E$204,"Independent",Assessment!$U$5:$U$204,"ELIGIBLE"),""))</x:f>
      </x:c>
      <x:c r="D30" s="29" t="str">
        <x:f>IF($A30="","",IF(COUNTIFS(Assessment!$B$5:$B$204,$A30,Assessment!$C$5:$C$204,$B30,Assessment!$D$5:$D$204,"Post",Assessment!$E$5:$E$204,"Independent",Assessment!$U$5:$U$204,"ELIGIBLE")=1,SUMIFS(Assessment!$N$5:$N$204,Assessment!$B$5:$B$204,$A30,Assessment!$C$5:$C$204,$B30,Assessment!$D$5:$D$204,"Post",Assessment!$E$5:$E$204,"Independent",Assessment!$U$5:$U$204,"ELIGIBLE"),""))</x:f>
      </x:c>
      <x:c r="E30" s="29" t="str">
        <x:f>IF($A30="","",IF(COUNTIFS(Assessment!$B$5:$B$204,$A30,Assessment!$C$5:$C$204,$B30,Assessment!$D$5:$D$204,"Delayed",Assessment!$E$5:$E$204,"Independent",Assessment!$U$5:$U$204,"ELIGIBLE")=1,SUMIFS(Assessment!$N$5:$N$204,Assessment!$B$5:$B$204,$A30,Assessment!$C$5:$C$204,$B30,Assessment!$D$5:$D$204,"Delayed",Assessment!$E$5:$E$204,"Independent",Assessment!$U$5:$U$204,"ELIGIBLE"),""))</x:f>
      </x:c>
      <x:c r="F30" s="29" t="str">
        <x:f>IF(A30="","",IF(AND(ISNUMBER(C30),ISNUMBER(D30)),D30-C30,""))</x:f>
      </x:c>
      <x:c r="G30" s="29" t="str">
        <x:f>IF($A30="","",IF(COUNTIFS(Assessment!$B$5:$B$204,$A30,Assessment!$C$5:$C$204,$B30,Assessment!$D$5:$D$204,"Post",Assessment!$E$5:$E$204,"Amplified",Assessment!$U$5:$U$204,"ELIGIBLE")=1,SUMIFS(Assessment!$N$5:$N$204,Assessment!$B$5:$B$204,$A30,Assessment!$C$5:$C$204,$B30,Assessment!$D$5:$D$204,"Post",Assessment!$E$5:$E$204,"Amplified",Assessment!$U$5:$U$204,"ELIGIBLE"),""))</x:f>
      </x:c>
      <x:c r="H30" s="26" t="str">
        <x:f>IF(A30="","",IF(ISNUMBER(D30),IF(ISNUMBER(C30),"POST COMPLETE / PAIRED","POST COMPLETE / UNPAIRED"),"POST MISSING"))</x:f>
      </x:c>
      <x:c r="I30" s="26" t="str">
        <x:f>IF(A30="","",IF(OR(COUNTIF($A$5:$A$44,A30)&gt;1,COUNTIFS(Assessment!$B$5:$B$204,A30,Assessment!$C$5:$C$204,B30,Assessment!$D$5:$D$204,"Baseline",Assessment!$E$5:$E$204,"Independent",Assessment!$U$5:$U$204,"ELIGIBLE")&gt;1,COUNTIFS(Assessment!$B$5:$B$204,A30,Assessment!$C$5:$C$204,B30,Assessment!$D$5:$D$204,"Post",Assessment!$E$5:$E$204,"Independent",Assessment!$U$5:$U$204,"ELIGIBLE")&gt;1,COUNTIFS(Assessment!$B$5:$B$204,A30,Assessment!$C$5:$C$204,B30,Assessment!$D$5:$D$204,"Delayed",Assessment!$E$5:$E$204,"Independent",Assessment!$U$5:$U$204,"ELIGIBLE")&gt;1,COUNTIFS(Assessment!$B$5:$B$204,A30,Assessment!$C$5:$C$204,B30,Assessment!$D$5:$D$204,"Post",Assessment!$E$5:$E$204,"Amplified",Assessment!$U$5:$U$204,"ELIGIBLE")&gt;1),"DUPLICATE / RESOLVE","UNIQUE"))</x:f>
      </x:c>
    </x:row>
    <x:row r="31" ht="32" customHeight="1">
      <x:c r="A31" s="21"/>
      <x:c r="B31" s="21"/>
      <x:c r="C31" s="29" t="str">
        <x:f>IF($A31="","",IF(COUNTIFS(Assessment!$B$5:$B$204,$A31,Assessment!$C$5:$C$204,$B31,Assessment!$D$5:$D$204,"Baseline",Assessment!$E$5:$E$204,"Independent",Assessment!$U$5:$U$204,"ELIGIBLE")=1,SUMIFS(Assessment!$N$5:$N$204,Assessment!$B$5:$B$204,$A31,Assessment!$C$5:$C$204,$B31,Assessment!$D$5:$D$204,"Baseline",Assessment!$E$5:$E$204,"Independent",Assessment!$U$5:$U$204,"ELIGIBLE"),""))</x:f>
      </x:c>
      <x:c r="D31" s="29" t="str">
        <x:f>IF($A31="","",IF(COUNTIFS(Assessment!$B$5:$B$204,$A31,Assessment!$C$5:$C$204,$B31,Assessment!$D$5:$D$204,"Post",Assessment!$E$5:$E$204,"Independent",Assessment!$U$5:$U$204,"ELIGIBLE")=1,SUMIFS(Assessment!$N$5:$N$204,Assessment!$B$5:$B$204,$A31,Assessment!$C$5:$C$204,$B31,Assessment!$D$5:$D$204,"Post",Assessment!$E$5:$E$204,"Independent",Assessment!$U$5:$U$204,"ELIGIBLE"),""))</x:f>
      </x:c>
      <x:c r="E31" s="29" t="str">
        <x:f>IF($A31="","",IF(COUNTIFS(Assessment!$B$5:$B$204,$A31,Assessment!$C$5:$C$204,$B31,Assessment!$D$5:$D$204,"Delayed",Assessment!$E$5:$E$204,"Independent",Assessment!$U$5:$U$204,"ELIGIBLE")=1,SUMIFS(Assessment!$N$5:$N$204,Assessment!$B$5:$B$204,$A31,Assessment!$C$5:$C$204,$B31,Assessment!$D$5:$D$204,"Delayed",Assessment!$E$5:$E$204,"Independent",Assessment!$U$5:$U$204,"ELIGIBLE"),""))</x:f>
      </x:c>
      <x:c r="F31" s="29" t="str">
        <x:f>IF(A31="","",IF(AND(ISNUMBER(C31),ISNUMBER(D31)),D31-C31,""))</x:f>
      </x:c>
      <x:c r="G31" s="29" t="str">
        <x:f>IF($A31="","",IF(COUNTIFS(Assessment!$B$5:$B$204,$A31,Assessment!$C$5:$C$204,$B31,Assessment!$D$5:$D$204,"Post",Assessment!$E$5:$E$204,"Amplified",Assessment!$U$5:$U$204,"ELIGIBLE")=1,SUMIFS(Assessment!$N$5:$N$204,Assessment!$B$5:$B$204,$A31,Assessment!$C$5:$C$204,$B31,Assessment!$D$5:$D$204,"Post",Assessment!$E$5:$E$204,"Amplified",Assessment!$U$5:$U$204,"ELIGIBLE"),""))</x:f>
      </x:c>
      <x:c r="H31" s="26" t="str">
        <x:f>IF(A31="","",IF(ISNUMBER(D31),IF(ISNUMBER(C31),"POST COMPLETE / PAIRED","POST COMPLETE / UNPAIRED"),"POST MISSING"))</x:f>
      </x:c>
      <x:c r="I31" s="26" t="str">
        <x:f>IF(A31="","",IF(OR(COUNTIF($A$5:$A$44,A31)&gt;1,COUNTIFS(Assessment!$B$5:$B$204,A31,Assessment!$C$5:$C$204,B31,Assessment!$D$5:$D$204,"Baseline",Assessment!$E$5:$E$204,"Independent",Assessment!$U$5:$U$204,"ELIGIBLE")&gt;1,COUNTIFS(Assessment!$B$5:$B$204,A31,Assessment!$C$5:$C$204,B31,Assessment!$D$5:$D$204,"Post",Assessment!$E$5:$E$204,"Independent",Assessment!$U$5:$U$204,"ELIGIBLE")&gt;1,COUNTIFS(Assessment!$B$5:$B$204,A31,Assessment!$C$5:$C$204,B31,Assessment!$D$5:$D$204,"Delayed",Assessment!$E$5:$E$204,"Independent",Assessment!$U$5:$U$204,"ELIGIBLE")&gt;1,COUNTIFS(Assessment!$B$5:$B$204,A31,Assessment!$C$5:$C$204,B31,Assessment!$D$5:$D$204,"Post",Assessment!$E$5:$E$204,"Amplified",Assessment!$U$5:$U$204,"ELIGIBLE")&gt;1),"DUPLICATE / RESOLVE","UNIQUE"))</x:f>
      </x:c>
    </x:row>
    <x:row r="32" ht="32" customHeight="1">
      <x:c r="A32" s="21"/>
      <x:c r="B32" s="21"/>
      <x:c r="C32" s="29" t="str">
        <x:f>IF($A32="","",IF(COUNTIFS(Assessment!$B$5:$B$204,$A32,Assessment!$C$5:$C$204,$B32,Assessment!$D$5:$D$204,"Baseline",Assessment!$E$5:$E$204,"Independent",Assessment!$U$5:$U$204,"ELIGIBLE")=1,SUMIFS(Assessment!$N$5:$N$204,Assessment!$B$5:$B$204,$A32,Assessment!$C$5:$C$204,$B32,Assessment!$D$5:$D$204,"Baseline",Assessment!$E$5:$E$204,"Independent",Assessment!$U$5:$U$204,"ELIGIBLE"),""))</x:f>
      </x:c>
      <x:c r="D32" s="29" t="str">
        <x:f>IF($A32="","",IF(COUNTIFS(Assessment!$B$5:$B$204,$A32,Assessment!$C$5:$C$204,$B32,Assessment!$D$5:$D$204,"Post",Assessment!$E$5:$E$204,"Independent",Assessment!$U$5:$U$204,"ELIGIBLE")=1,SUMIFS(Assessment!$N$5:$N$204,Assessment!$B$5:$B$204,$A32,Assessment!$C$5:$C$204,$B32,Assessment!$D$5:$D$204,"Post",Assessment!$E$5:$E$204,"Independent",Assessment!$U$5:$U$204,"ELIGIBLE"),""))</x:f>
      </x:c>
      <x:c r="E32" s="29" t="str">
        <x:f>IF($A32="","",IF(COUNTIFS(Assessment!$B$5:$B$204,$A32,Assessment!$C$5:$C$204,$B32,Assessment!$D$5:$D$204,"Delayed",Assessment!$E$5:$E$204,"Independent",Assessment!$U$5:$U$204,"ELIGIBLE")=1,SUMIFS(Assessment!$N$5:$N$204,Assessment!$B$5:$B$204,$A32,Assessment!$C$5:$C$204,$B32,Assessment!$D$5:$D$204,"Delayed",Assessment!$E$5:$E$204,"Independent",Assessment!$U$5:$U$204,"ELIGIBLE"),""))</x:f>
      </x:c>
      <x:c r="F32" s="29" t="str">
        <x:f>IF(A32="","",IF(AND(ISNUMBER(C32),ISNUMBER(D32)),D32-C32,""))</x:f>
      </x:c>
      <x:c r="G32" s="29" t="str">
        <x:f>IF($A32="","",IF(COUNTIFS(Assessment!$B$5:$B$204,$A32,Assessment!$C$5:$C$204,$B32,Assessment!$D$5:$D$204,"Post",Assessment!$E$5:$E$204,"Amplified",Assessment!$U$5:$U$204,"ELIGIBLE")=1,SUMIFS(Assessment!$N$5:$N$204,Assessment!$B$5:$B$204,$A32,Assessment!$C$5:$C$204,$B32,Assessment!$D$5:$D$204,"Post",Assessment!$E$5:$E$204,"Amplified",Assessment!$U$5:$U$204,"ELIGIBLE"),""))</x:f>
      </x:c>
      <x:c r="H32" s="26" t="str">
        <x:f>IF(A32="","",IF(ISNUMBER(D32),IF(ISNUMBER(C32),"POST COMPLETE / PAIRED","POST COMPLETE / UNPAIRED"),"POST MISSING"))</x:f>
      </x:c>
      <x:c r="I32" s="26" t="str">
        <x:f>IF(A32="","",IF(OR(COUNTIF($A$5:$A$44,A32)&gt;1,COUNTIFS(Assessment!$B$5:$B$204,A32,Assessment!$C$5:$C$204,B32,Assessment!$D$5:$D$204,"Baseline",Assessment!$E$5:$E$204,"Independent",Assessment!$U$5:$U$204,"ELIGIBLE")&gt;1,COUNTIFS(Assessment!$B$5:$B$204,A32,Assessment!$C$5:$C$204,B32,Assessment!$D$5:$D$204,"Post",Assessment!$E$5:$E$204,"Independent",Assessment!$U$5:$U$204,"ELIGIBLE")&gt;1,COUNTIFS(Assessment!$B$5:$B$204,A32,Assessment!$C$5:$C$204,B32,Assessment!$D$5:$D$204,"Delayed",Assessment!$E$5:$E$204,"Independent",Assessment!$U$5:$U$204,"ELIGIBLE")&gt;1,COUNTIFS(Assessment!$B$5:$B$204,A32,Assessment!$C$5:$C$204,B32,Assessment!$D$5:$D$204,"Post",Assessment!$E$5:$E$204,"Amplified",Assessment!$U$5:$U$204,"ELIGIBLE")&gt;1),"DUPLICATE / RESOLVE","UNIQUE"))</x:f>
      </x:c>
    </x:row>
    <x:row r="33" ht="32" customHeight="1">
      <x:c r="A33" s="21"/>
      <x:c r="B33" s="21"/>
      <x:c r="C33" s="29" t="str">
        <x:f>IF($A33="","",IF(COUNTIFS(Assessment!$B$5:$B$204,$A33,Assessment!$C$5:$C$204,$B33,Assessment!$D$5:$D$204,"Baseline",Assessment!$E$5:$E$204,"Independent",Assessment!$U$5:$U$204,"ELIGIBLE")=1,SUMIFS(Assessment!$N$5:$N$204,Assessment!$B$5:$B$204,$A33,Assessment!$C$5:$C$204,$B33,Assessment!$D$5:$D$204,"Baseline",Assessment!$E$5:$E$204,"Independent",Assessment!$U$5:$U$204,"ELIGIBLE"),""))</x:f>
      </x:c>
      <x:c r="D33" s="29" t="str">
        <x:f>IF($A33="","",IF(COUNTIFS(Assessment!$B$5:$B$204,$A33,Assessment!$C$5:$C$204,$B33,Assessment!$D$5:$D$204,"Post",Assessment!$E$5:$E$204,"Independent",Assessment!$U$5:$U$204,"ELIGIBLE")=1,SUMIFS(Assessment!$N$5:$N$204,Assessment!$B$5:$B$204,$A33,Assessment!$C$5:$C$204,$B33,Assessment!$D$5:$D$204,"Post",Assessment!$E$5:$E$204,"Independent",Assessment!$U$5:$U$204,"ELIGIBLE"),""))</x:f>
      </x:c>
      <x:c r="E33" s="29" t="str">
        <x:f>IF($A33="","",IF(COUNTIFS(Assessment!$B$5:$B$204,$A33,Assessment!$C$5:$C$204,$B33,Assessment!$D$5:$D$204,"Delayed",Assessment!$E$5:$E$204,"Independent",Assessment!$U$5:$U$204,"ELIGIBLE")=1,SUMIFS(Assessment!$N$5:$N$204,Assessment!$B$5:$B$204,$A33,Assessment!$C$5:$C$204,$B33,Assessment!$D$5:$D$204,"Delayed",Assessment!$E$5:$E$204,"Independent",Assessment!$U$5:$U$204,"ELIGIBLE"),""))</x:f>
      </x:c>
      <x:c r="F33" s="29" t="str">
        <x:f>IF(A33="","",IF(AND(ISNUMBER(C33),ISNUMBER(D33)),D33-C33,""))</x:f>
      </x:c>
      <x:c r="G33" s="29" t="str">
        <x:f>IF($A33="","",IF(COUNTIFS(Assessment!$B$5:$B$204,$A33,Assessment!$C$5:$C$204,$B33,Assessment!$D$5:$D$204,"Post",Assessment!$E$5:$E$204,"Amplified",Assessment!$U$5:$U$204,"ELIGIBLE")=1,SUMIFS(Assessment!$N$5:$N$204,Assessment!$B$5:$B$204,$A33,Assessment!$C$5:$C$204,$B33,Assessment!$D$5:$D$204,"Post",Assessment!$E$5:$E$204,"Amplified",Assessment!$U$5:$U$204,"ELIGIBLE"),""))</x:f>
      </x:c>
      <x:c r="H33" s="26" t="str">
        <x:f>IF(A33="","",IF(ISNUMBER(D33),IF(ISNUMBER(C33),"POST COMPLETE / PAIRED","POST COMPLETE / UNPAIRED"),"POST MISSING"))</x:f>
      </x:c>
      <x:c r="I33" s="26" t="str">
        <x:f>IF(A33="","",IF(OR(COUNTIF($A$5:$A$44,A33)&gt;1,COUNTIFS(Assessment!$B$5:$B$204,A33,Assessment!$C$5:$C$204,B33,Assessment!$D$5:$D$204,"Baseline",Assessment!$E$5:$E$204,"Independent",Assessment!$U$5:$U$204,"ELIGIBLE")&gt;1,COUNTIFS(Assessment!$B$5:$B$204,A33,Assessment!$C$5:$C$204,B33,Assessment!$D$5:$D$204,"Post",Assessment!$E$5:$E$204,"Independent",Assessment!$U$5:$U$204,"ELIGIBLE")&gt;1,COUNTIFS(Assessment!$B$5:$B$204,A33,Assessment!$C$5:$C$204,B33,Assessment!$D$5:$D$204,"Delayed",Assessment!$E$5:$E$204,"Independent",Assessment!$U$5:$U$204,"ELIGIBLE")&gt;1,COUNTIFS(Assessment!$B$5:$B$204,A33,Assessment!$C$5:$C$204,B33,Assessment!$D$5:$D$204,"Post",Assessment!$E$5:$E$204,"Amplified",Assessment!$U$5:$U$204,"ELIGIBLE")&gt;1),"DUPLICATE / RESOLVE","UNIQUE"))</x:f>
      </x:c>
    </x:row>
    <x:row r="34" ht="32" customHeight="1">
      <x:c r="A34" s="21"/>
      <x:c r="B34" s="21"/>
      <x:c r="C34" s="29" t="str">
        <x:f>IF($A34="","",IF(COUNTIFS(Assessment!$B$5:$B$204,$A34,Assessment!$C$5:$C$204,$B34,Assessment!$D$5:$D$204,"Baseline",Assessment!$E$5:$E$204,"Independent",Assessment!$U$5:$U$204,"ELIGIBLE")=1,SUMIFS(Assessment!$N$5:$N$204,Assessment!$B$5:$B$204,$A34,Assessment!$C$5:$C$204,$B34,Assessment!$D$5:$D$204,"Baseline",Assessment!$E$5:$E$204,"Independent",Assessment!$U$5:$U$204,"ELIGIBLE"),""))</x:f>
      </x:c>
      <x:c r="D34" s="29" t="str">
        <x:f>IF($A34="","",IF(COUNTIFS(Assessment!$B$5:$B$204,$A34,Assessment!$C$5:$C$204,$B34,Assessment!$D$5:$D$204,"Post",Assessment!$E$5:$E$204,"Independent",Assessment!$U$5:$U$204,"ELIGIBLE")=1,SUMIFS(Assessment!$N$5:$N$204,Assessment!$B$5:$B$204,$A34,Assessment!$C$5:$C$204,$B34,Assessment!$D$5:$D$204,"Post",Assessment!$E$5:$E$204,"Independent",Assessment!$U$5:$U$204,"ELIGIBLE"),""))</x:f>
      </x:c>
      <x:c r="E34" s="29" t="str">
        <x:f>IF($A34="","",IF(COUNTIFS(Assessment!$B$5:$B$204,$A34,Assessment!$C$5:$C$204,$B34,Assessment!$D$5:$D$204,"Delayed",Assessment!$E$5:$E$204,"Independent",Assessment!$U$5:$U$204,"ELIGIBLE")=1,SUMIFS(Assessment!$N$5:$N$204,Assessment!$B$5:$B$204,$A34,Assessment!$C$5:$C$204,$B34,Assessment!$D$5:$D$204,"Delayed",Assessment!$E$5:$E$204,"Independent",Assessment!$U$5:$U$204,"ELIGIBLE"),""))</x:f>
      </x:c>
      <x:c r="F34" s="29" t="str">
        <x:f>IF(A34="","",IF(AND(ISNUMBER(C34),ISNUMBER(D34)),D34-C34,""))</x:f>
      </x:c>
      <x:c r="G34" s="29" t="str">
        <x:f>IF($A34="","",IF(COUNTIFS(Assessment!$B$5:$B$204,$A34,Assessment!$C$5:$C$204,$B34,Assessment!$D$5:$D$204,"Post",Assessment!$E$5:$E$204,"Amplified",Assessment!$U$5:$U$204,"ELIGIBLE")=1,SUMIFS(Assessment!$N$5:$N$204,Assessment!$B$5:$B$204,$A34,Assessment!$C$5:$C$204,$B34,Assessment!$D$5:$D$204,"Post",Assessment!$E$5:$E$204,"Amplified",Assessment!$U$5:$U$204,"ELIGIBLE"),""))</x:f>
      </x:c>
      <x:c r="H34" s="26" t="str">
        <x:f>IF(A34="","",IF(ISNUMBER(D34),IF(ISNUMBER(C34),"POST COMPLETE / PAIRED","POST COMPLETE / UNPAIRED"),"POST MISSING"))</x:f>
      </x:c>
      <x:c r="I34" s="26" t="str">
        <x:f>IF(A34="","",IF(OR(COUNTIF($A$5:$A$44,A34)&gt;1,COUNTIFS(Assessment!$B$5:$B$204,A34,Assessment!$C$5:$C$204,B34,Assessment!$D$5:$D$204,"Baseline",Assessment!$E$5:$E$204,"Independent",Assessment!$U$5:$U$204,"ELIGIBLE")&gt;1,COUNTIFS(Assessment!$B$5:$B$204,A34,Assessment!$C$5:$C$204,B34,Assessment!$D$5:$D$204,"Post",Assessment!$E$5:$E$204,"Independent",Assessment!$U$5:$U$204,"ELIGIBLE")&gt;1,COUNTIFS(Assessment!$B$5:$B$204,A34,Assessment!$C$5:$C$204,B34,Assessment!$D$5:$D$204,"Delayed",Assessment!$E$5:$E$204,"Independent",Assessment!$U$5:$U$204,"ELIGIBLE")&gt;1,COUNTIFS(Assessment!$B$5:$B$204,A34,Assessment!$C$5:$C$204,B34,Assessment!$D$5:$D$204,"Post",Assessment!$E$5:$E$204,"Amplified",Assessment!$U$5:$U$204,"ELIGIBLE")&gt;1),"DUPLICATE / RESOLVE","UNIQUE"))</x:f>
      </x:c>
    </x:row>
    <x:row r="35" ht="32" customHeight="1">
      <x:c r="A35" s="21"/>
      <x:c r="B35" s="21"/>
      <x:c r="C35" s="29" t="str">
        <x:f>IF($A35="","",IF(COUNTIFS(Assessment!$B$5:$B$204,$A35,Assessment!$C$5:$C$204,$B35,Assessment!$D$5:$D$204,"Baseline",Assessment!$E$5:$E$204,"Independent",Assessment!$U$5:$U$204,"ELIGIBLE")=1,SUMIFS(Assessment!$N$5:$N$204,Assessment!$B$5:$B$204,$A35,Assessment!$C$5:$C$204,$B35,Assessment!$D$5:$D$204,"Baseline",Assessment!$E$5:$E$204,"Independent",Assessment!$U$5:$U$204,"ELIGIBLE"),""))</x:f>
      </x:c>
      <x:c r="D35" s="29" t="str">
        <x:f>IF($A35="","",IF(COUNTIFS(Assessment!$B$5:$B$204,$A35,Assessment!$C$5:$C$204,$B35,Assessment!$D$5:$D$204,"Post",Assessment!$E$5:$E$204,"Independent",Assessment!$U$5:$U$204,"ELIGIBLE")=1,SUMIFS(Assessment!$N$5:$N$204,Assessment!$B$5:$B$204,$A35,Assessment!$C$5:$C$204,$B35,Assessment!$D$5:$D$204,"Post",Assessment!$E$5:$E$204,"Independent",Assessment!$U$5:$U$204,"ELIGIBLE"),""))</x:f>
      </x:c>
      <x:c r="E35" s="29" t="str">
        <x:f>IF($A35="","",IF(COUNTIFS(Assessment!$B$5:$B$204,$A35,Assessment!$C$5:$C$204,$B35,Assessment!$D$5:$D$204,"Delayed",Assessment!$E$5:$E$204,"Independent",Assessment!$U$5:$U$204,"ELIGIBLE")=1,SUMIFS(Assessment!$N$5:$N$204,Assessment!$B$5:$B$204,$A35,Assessment!$C$5:$C$204,$B35,Assessment!$D$5:$D$204,"Delayed",Assessment!$E$5:$E$204,"Independent",Assessment!$U$5:$U$204,"ELIGIBLE"),""))</x:f>
      </x:c>
      <x:c r="F35" s="29" t="str">
        <x:f>IF(A35="","",IF(AND(ISNUMBER(C35),ISNUMBER(D35)),D35-C35,""))</x:f>
      </x:c>
      <x:c r="G35" s="29" t="str">
        <x:f>IF($A35="","",IF(COUNTIFS(Assessment!$B$5:$B$204,$A35,Assessment!$C$5:$C$204,$B35,Assessment!$D$5:$D$204,"Post",Assessment!$E$5:$E$204,"Amplified",Assessment!$U$5:$U$204,"ELIGIBLE")=1,SUMIFS(Assessment!$N$5:$N$204,Assessment!$B$5:$B$204,$A35,Assessment!$C$5:$C$204,$B35,Assessment!$D$5:$D$204,"Post",Assessment!$E$5:$E$204,"Amplified",Assessment!$U$5:$U$204,"ELIGIBLE"),""))</x:f>
      </x:c>
      <x:c r="H35" s="26" t="str">
        <x:f>IF(A35="","",IF(ISNUMBER(D35),IF(ISNUMBER(C35),"POST COMPLETE / PAIRED","POST COMPLETE / UNPAIRED"),"POST MISSING"))</x:f>
      </x:c>
      <x:c r="I35" s="26" t="str">
        <x:f>IF(A35="","",IF(OR(COUNTIF($A$5:$A$44,A35)&gt;1,COUNTIFS(Assessment!$B$5:$B$204,A35,Assessment!$C$5:$C$204,B35,Assessment!$D$5:$D$204,"Baseline",Assessment!$E$5:$E$204,"Independent",Assessment!$U$5:$U$204,"ELIGIBLE")&gt;1,COUNTIFS(Assessment!$B$5:$B$204,A35,Assessment!$C$5:$C$204,B35,Assessment!$D$5:$D$204,"Post",Assessment!$E$5:$E$204,"Independent",Assessment!$U$5:$U$204,"ELIGIBLE")&gt;1,COUNTIFS(Assessment!$B$5:$B$204,A35,Assessment!$C$5:$C$204,B35,Assessment!$D$5:$D$204,"Delayed",Assessment!$E$5:$E$204,"Independent",Assessment!$U$5:$U$204,"ELIGIBLE")&gt;1,COUNTIFS(Assessment!$B$5:$B$204,A35,Assessment!$C$5:$C$204,B35,Assessment!$D$5:$D$204,"Post",Assessment!$E$5:$E$204,"Amplified",Assessment!$U$5:$U$204,"ELIGIBLE")&gt;1),"DUPLICATE / RESOLVE","UNIQUE"))</x:f>
      </x:c>
    </x:row>
    <x:row r="36" ht="32" customHeight="1">
      <x:c r="A36" s="21"/>
      <x:c r="B36" s="21"/>
      <x:c r="C36" s="29" t="str">
        <x:f>IF($A36="","",IF(COUNTIFS(Assessment!$B$5:$B$204,$A36,Assessment!$C$5:$C$204,$B36,Assessment!$D$5:$D$204,"Baseline",Assessment!$E$5:$E$204,"Independent",Assessment!$U$5:$U$204,"ELIGIBLE")=1,SUMIFS(Assessment!$N$5:$N$204,Assessment!$B$5:$B$204,$A36,Assessment!$C$5:$C$204,$B36,Assessment!$D$5:$D$204,"Baseline",Assessment!$E$5:$E$204,"Independent",Assessment!$U$5:$U$204,"ELIGIBLE"),""))</x:f>
      </x:c>
      <x:c r="D36" s="29" t="str">
        <x:f>IF($A36="","",IF(COUNTIFS(Assessment!$B$5:$B$204,$A36,Assessment!$C$5:$C$204,$B36,Assessment!$D$5:$D$204,"Post",Assessment!$E$5:$E$204,"Independent",Assessment!$U$5:$U$204,"ELIGIBLE")=1,SUMIFS(Assessment!$N$5:$N$204,Assessment!$B$5:$B$204,$A36,Assessment!$C$5:$C$204,$B36,Assessment!$D$5:$D$204,"Post",Assessment!$E$5:$E$204,"Independent",Assessment!$U$5:$U$204,"ELIGIBLE"),""))</x:f>
      </x:c>
      <x:c r="E36" s="29" t="str">
        <x:f>IF($A36="","",IF(COUNTIFS(Assessment!$B$5:$B$204,$A36,Assessment!$C$5:$C$204,$B36,Assessment!$D$5:$D$204,"Delayed",Assessment!$E$5:$E$204,"Independent",Assessment!$U$5:$U$204,"ELIGIBLE")=1,SUMIFS(Assessment!$N$5:$N$204,Assessment!$B$5:$B$204,$A36,Assessment!$C$5:$C$204,$B36,Assessment!$D$5:$D$204,"Delayed",Assessment!$E$5:$E$204,"Independent",Assessment!$U$5:$U$204,"ELIGIBLE"),""))</x:f>
      </x:c>
      <x:c r="F36" s="29" t="str">
        <x:f>IF(A36="","",IF(AND(ISNUMBER(C36),ISNUMBER(D36)),D36-C36,""))</x:f>
      </x:c>
      <x:c r="G36" s="29" t="str">
        <x:f>IF($A36="","",IF(COUNTIFS(Assessment!$B$5:$B$204,$A36,Assessment!$C$5:$C$204,$B36,Assessment!$D$5:$D$204,"Post",Assessment!$E$5:$E$204,"Amplified",Assessment!$U$5:$U$204,"ELIGIBLE")=1,SUMIFS(Assessment!$N$5:$N$204,Assessment!$B$5:$B$204,$A36,Assessment!$C$5:$C$204,$B36,Assessment!$D$5:$D$204,"Post",Assessment!$E$5:$E$204,"Amplified",Assessment!$U$5:$U$204,"ELIGIBLE"),""))</x:f>
      </x:c>
      <x:c r="H36" s="26" t="str">
        <x:f>IF(A36="","",IF(ISNUMBER(D36),IF(ISNUMBER(C36),"POST COMPLETE / PAIRED","POST COMPLETE / UNPAIRED"),"POST MISSING"))</x:f>
      </x:c>
      <x:c r="I36" s="26" t="str">
        <x:f>IF(A36="","",IF(OR(COUNTIF($A$5:$A$44,A36)&gt;1,COUNTIFS(Assessment!$B$5:$B$204,A36,Assessment!$C$5:$C$204,B36,Assessment!$D$5:$D$204,"Baseline",Assessment!$E$5:$E$204,"Independent",Assessment!$U$5:$U$204,"ELIGIBLE")&gt;1,COUNTIFS(Assessment!$B$5:$B$204,A36,Assessment!$C$5:$C$204,B36,Assessment!$D$5:$D$204,"Post",Assessment!$E$5:$E$204,"Independent",Assessment!$U$5:$U$204,"ELIGIBLE")&gt;1,COUNTIFS(Assessment!$B$5:$B$204,A36,Assessment!$C$5:$C$204,B36,Assessment!$D$5:$D$204,"Delayed",Assessment!$E$5:$E$204,"Independent",Assessment!$U$5:$U$204,"ELIGIBLE")&gt;1,COUNTIFS(Assessment!$B$5:$B$204,A36,Assessment!$C$5:$C$204,B36,Assessment!$D$5:$D$204,"Post",Assessment!$E$5:$E$204,"Amplified",Assessment!$U$5:$U$204,"ELIGIBLE")&gt;1),"DUPLICATE / RESOLVE","UNIQUE"))</x:f>
      </x:c>
    </x:row>
    <x:row r="37" ht="32" customHeight="1">
      <x:c r="A37" s="21"/>
      <x:c r="B37" s="21"/>
      <x:c r="C37" s="29" t="str">
        <x:f>IF($A37="","",IF(COUNTIFS(Assessment!$B$5:$B$204,$A37,Assessment!$C$5:$C$204,$B37,Assessment!$D$5:$D$204,"Baseline",Assessment!$E$5:$E$204,"Independent",Assessment!$U$5:$U$204,"ELIGIBLE")=1,SUMIFS(Assessment!$N$5:$N$204,Assessment!$B$5:$B$204,$A37,Assessment!$C$5:$C$204,$B37,Assessment!$D$5:$D$204,"Baseline",Assessment!$E$5:$E$204,"Independent",Assessment!$U$5:$U$204,"ELIGIBLE"),""))</x:f>
      </x:c>
      <x:c r="D37" s="29" t="str">
        <x:f>IF($A37="","",IF(COUNTIFS(Assessment!$B$5:$B$204,$A37,Assessment!$C$5:$C$204,$B37,Assessment!$D$5:$D$204,"Post",Assessment!$E$5:$E$204,"Independent",Assessment!$U$5:$U$204,"ELIGIBLE")=1,SUMIFS(Assessment!$N$5:$N$204,Assessment!$B$5:$B$204,$A37,Assessment!$C$5:$C$204,$B37,Assessment!$D$5:$D$204,"Post",Assessment!$E$5:$E$204,"Independent",Assessment!$U$5:$U$204,"ELIGIBLE"),""))</x:f>
      </x:c>
      <x:c r="E37" s="29" t="str">
        <x:f>IF($A37="","",IF(COUNTIFS(Assessment!$B$5:$B$204,$A37,Assessment!$C$5:$C$204,$B37,Assessment!$D$5:$D$204,"Delayed",Assessment!$E$5:$E$204,"Independent",Assessment!$U$5:$U$204,"ELIGIBLE")=1,SUMIFS(Assessment!$N$5:$N$204,Assessment!$B$5:$B$204,$A37,Assessment!$C$5:$C$204,$B37,Assessment!$D$5:$D$204,"Delayed",Assessment!$E$5:$E$204,"Independent",Assessment!$U$5:$U$204,"ELIGIBLE"),""))</x:f>
      </x:c>
      <x:c r="F37" s="29" t="str">
        <x:f>IF(A37="","",IF(AND(ISNUMBER(C37),ISNUMBER(D37)),D37-C37,""))</x:f>
      </x:c>
      <x:c r="G37" s="29" t="str">
        <x:f>IF($A37="","",IF(COUNTIFS(Assessment!$B$5:$B$204,$A37,Assessment!$C$5:$C$204,$B37,Assessment!$D$5:$D$204,"Post",Assessment!$E$5:$E$204,"Amplified",Assessment!$U$5:$U$204,"ELIGIBLE")=1,SUMIFS(Assessment!$N$5:$N$204,Assessment!$B$5:$B$204,$A37,Assessment!$C$5:$C$204,$B37,Assessment!$D$5:$D$204,"Post",Assessment!$E$5:$E$204,"Amplified",Assessment!$U$5:$U$204,"ELIGIBLE"),""))</x:f>
      </x:c>
      <x:c r="H37" s="26" t="str">
        <x:f>IF(A37="","",IF(ISNUMBER(D37),IF(ISNUMBER(C37),"POST COMPLETE / PAIRED","POST COMPLETE / UNPAIRED"),"POST MISSING"))</x:f>
      </x:c>
      <x:c r="I37" s="26" t="str">
        <x:f>IF(A37="","",IF(OR(COUNTIF($A$5:$A$44,A37)&gt;1,COUNTIFS(Assessment!$B$5:$B$204,A37,Assessment!$C$5:$C$204,B37,Assessment!$D$5:$D$204,"Baseline",Assessment!$E$5:$E$204,"Independent",Assessment!$U$5:$U$204,"ELIGIBLE")&gt;1,COUNTIFS(Assessment!$B$5:$B$204,A37,Assessment!$C$5:$C$204,B37,Assessment!$D$5:$D$204,"Post",Assessment!$E$5:$E$204,"Independent",Assessment!$U$5:$U$204,"ELIGIBLE")&gt;1,COUNTIFS(Assessment!$B$5:$B$204,A37,Assessment!$C$5:$C$204,B37,Assessment!$D$5:$D$204,"Delayed",Assessment!$E$5:$E$204,"Independent",Assessment!$U$5:$U$204,"ELIGIBLE")&gt;1,COUNTIFS(Assessment!$B$5:$B$204,A37,Assessment!$C$5:$C$204,B37,Assessment!$D$5:$D$204,"Post",Assessment!$E$5:$E$204,"Amplified",Assessment!$U$5:$U$204,"ELIGIBLE")&gt;1),"DUPLICATE / RESOLVE","UNIQUE"))</x:f>
      </x:c>
    </x:row>
    <x:row r="38" ht="32" customHeight="1">
      <x:c r="A38" s="21"/>
      <x:c r="B38" s="21"/>
      <x:c r="C38" s="29" t="str">
        <x:f>IF($A38="","",IF(COUNTIFS(Assessment!$B$5:$B$204,$A38,Assessment!$C$5:$C$204,$B38,Assessment!$D$5:$D$204,"Baseline",Assessment!$E$5:$E$204,"Independent",Assessment!$U$5:$U$204,"ELIGIBLE")=1,SUMIFS(Assessment!$N$5:$N$204,Assessment!$B$5:$B$204,$A38,Assessment!$C$5:$C$204,$B38,Assessment!$D$5:$D$204,"Baseline",Assessment!$E$5:$E$204,"Independent",Assessment!$U$5:$U$204,"ELIGIBLE"),""))</x:f>
      </x:c>
      <x:c r="D38" s="29" t="str">
        <x:f>IF($A38="","",IF(COUNTIFS(Assessment!$B$5:$B$204,$A38,Assessment!$C$5:$C$204,$B38,Assessment!$D$5:$D$204,"Post",Assessment!$E$5:$E$204,"Independent",Assessment!$U$5:$U$204,"ELIGIBLE")=1,SUMIFS(Assessment!$N$5:$N$204,Assessment!$B$5:$B$204,$A38,Assessment!$C$5:$C$204,$B38,Assessment!$D$5:$D$204,"Post",Assessment!$E$5:$E$204,"Independent",Assessment!$U$5:$U$204,"ELIGIBLE"),""))</x:f>
      </x:c>
      <x:c r="E38" s="29" t="str">
        <x:f>IF($A38="","",IF(COUNTIFS(Assessment!$B$5:$B$204,$A38,Assessment!$C$5:$C$204,$B38,Assessment!$D$5:$D$204,"Delayed",Assessment!$E$5:$E$204,"Independent",Assessment!$U$5:$U$204,"ELIGIBLE")=1,SUMIFS(Assessment!$N$5:$N$204,Assessment!$B$5:$B$204,$A38,Assessment!$C$5:$C$204,$B38,Assessment!$D$5:$D$204,"Delayed",Assessment!$E$5:$E$204,"Independent",Assessment!$U$5:$U$204,"ELIGIBLE"),""))</x:f>
      </x:c>
      <x:c r="F38" s="29" t="str">
        <x:f>IF(A38="","",IF(AND(ISNUMBER(C38),ISNUMBER(D38)),D38-C38,""))</x:f>
      </x:c>
      <x:c r="G38" s="29" t="str">
        <x:f>IF($A38="","",IF(COUNTIFS(Assessment!$B$5:$B$204,$A38,Assessment!$C$5:$C$204,$B38,Assessment!$D$5:$D$204,"Post",Assessment!$E$5:$E$204,"Amplified",Assessment!$U$5:$U$204,"ELIGIBLE")=1,SUMIFS(Assessment!$N$5:$N$204,Assessment!$B$5:$B$204,$A38,Assessment!$C$5:$C$204,$B38,Assessment!$D$5:$D$204,"Post",Assessment!$E$5:$E$204,"Amplified",Assessment!$U$5:$U$204,"ELIGIBLE"),""))</x:f>
      </x:c>
      <x:c r="H38" s="26" t="str">
        <x:f>IF(A38="","",IF(ISNUMBER(D38),IF(ISNUMBER(C38),"POST COMPLETE / PAIRED","POST COMPLETE / UNPAIRED"),"POST MISSING"))</x:f>
      </x:c>
      <x:c r="I38" s="26" t="str">
        <x:f>IF(A38="","",IF(OR(COUNTIF($A$5:$A$44,A38)&gt;1,COUNTIFS(Assessment!$B$5:$B$204,A38,Assessment!$C$5:$C$204,B38,Assessment!$D$5:$D$204,"Baseline",Assessment!$E$5:$E$204,"Independent",Assessment!$U$5:$U$204,"ELIGIBLE")&gt;1,COUNTIFS(Assessment!$B$5:$B$204,A38,Assessment!$C$5:$C$204,B38,Assessment!$D$5:$D$204,"Post",Assessment!$E$5:$E$204,"Independent",Assessment!$U$5:$U$204,"ELIGIBLE")&gt;1,COUNTIFS(Assessment!$B$5:$B$204,A38,Assessment!$C$5:$C$204,B38,Assessment!$D$5:$D$204,"Delayed",Assessment!$E$5:$E$204,"Independent",Assessment!$U$5:$U$204,"ELIGIBLE")&gt;1,COUNTIFS(Assessment!$B$5:$B$204,A38,Assessment!$C$5:$C$204,B38,Assessment!$D$5:$D$204,"Post",Assessment!$E$5:$E$204,"Amplified",Assessment!$U$5:$U$204,"ELIGIBLE")&gt;1),"DUPLICATE / RESOLVE","UNIQUE"))</x:f>
      </x:c>
    </x:row>
    <x:row r="39" ht="32" customHeight="1">
      <x:c r="A39" s="21"/>
      <x:c r="B39" s="21"/>
      <x:c r="C39" s="29" t="str">
        <x:f>IF($A39="","",IF(COUNTIFS(Assessment!$B$5:$B$204,$A39,Assessment!$C$5:$C$204,$B39,Assessment!$D$5:$D$204,"Baseline",Assessment!$E$5:$E$204,"Independent",Assessment!$U$5:$U$204,"ELIGIBLE")=1,SUMIFS(Assessment!$N$5:$N$204,Assessment!$B$5:$B$204,$A39,Assessment!$C$5:$C$204,$B39,Assessment!$D$5:$D$204,"Baseline",Assessment!$E$5:$E$204,"Independent",Assessment!$U$5:$U$204,"ELIGIBLE"),""))</x:f>
      </x:c>
      <x:c r="D39" s="29" t="str">
        <x:f>IF($A39="","",IF(COUNTIFS(Assessment!$B$5:$B$204,$A39,Assessment!$C$5:$C$204,$B39,Assessment!$D$5:$D$204,"Post",Assessment!$E$5:$E$204,"Independent",Assessment!$U$5:$U$204,"ELIGIBLE")=1,SUMIFS(Assessment!$N$5:$N$204,Assessment!$B$5:$B$204,$A39,Assessment!$C$5:$C$204,$B39,Assessment!$D$5:$D$204,"Post",Assessment!$E$5:$E$204,"Independent",Assessment!$U$5:$U$204,"ELIGIBLE"),""))</x:f>
      </x:c>
      <x:c r="E39" s="29" t="str">
        <x:f>IF($A39="","",IF(COUNTIFS(Assessment!$B$5:$B$204,$A39,Assessment!$C$5:$C$204,$B39,Assessment!$D$5:$D$204,"Delayed",Assessment!$E$5:$E$204,"Independent",Assessment!$U$5:$U$204,"ELIGIBLE")=1,SUMIFS(Assessment!$N$5:$N$204,Assessment!$B$5:$B$204,$A39,Assessment!$C$5:$C$204,$B39,Assessment!$D$5:$D$204,"Delayed",Assessment!$E$5:$E$204,"Independent",Assessment!$U$5:$U$204,"ELIGIBLE"),""))</x:f>
      </x:c>
      <x:c r="F39" s="29" t="str">
        <x:f>IF(A39="","",IF(AND(ISNUMBER(C39),ISNUMBER(D39)),D39-C39,""))</x:f>
      </x:c>
      <x:c r="G39" s="29" t="str">
        <x:f>IF($A39="","",IF(COUNTIFS(Assessment!$B$5:$B$204,$A39,Assessment!$C$5:$C$204,$B39,Assessment!$D$5:$D$204,"Post",Assessment!$E$5:$E$204,"Amplified",Assessment!$U$5:$U$204,"ELIGIBLE")=1,SUMIFS(Assessment!$N$5:$N$204,Assessment!$B$5:$B$204,$A39,Assessment!$C$5:$C$204,$B39,Assessment!$D$5:$D$204,"Post",Assessment!$E$5:$E$204,"Amplified",Assessment!$U$5:$U$204,"ELIGIBLE"),""))</x:f>
      </x:c>
      <x:c r="H39" s="26" t="str">
        <x:f>IF(A39="","",IF(ISNUMBER(D39),IF(ISNUMBER(C39),"POST COMPLETE / PAIRED","POST COMPLETE / UNPAIRED"),"POST MISSING"))</x:f>
      </x:c>
      <x:c r="I39" s="26" t="str">
        <x:f>IF(A39="","",IF(OR(COUNTIF($A$5:$A$44,A39)&gt;1,COUNTIFS(Assessment!$B$5:$B$204,A39,Assessment!$C$5:$C$204,B39,Assessment!$D$5:$D$204,"Baseline",Assessment!$E$5:$E$204,"Independent",Assessment!$U$5:$U$204,"ELIGIBLE")&gt;1,COUNTIFS(Assessment!$B$5:$B$204,A39,Assessment!$C$5:$C$204,B39,Assessment!$D$5:$D$204,"Post",Assessment!$E$5:$E$204,"Independent",Assessment!$U$5:$U$204,"ELIGIBLE")&gt;1,COUNTIFS(Assessment!$B$5:$B$204,A39,Assessment!$C$5:$C$204,B39,Assessment!$D$5:$D$204,"Delayed",Assessment!$E$5:$E$204,"Independent",Assessment!$U$5:$U$204,"ELIGIBLE")&gt;1,COUNTIFS(Assessment!$B$5:$B$204,A39,Assessment!$C$5:$C$204,B39,Assessment!$D$5:$D$204,"Post",Assessment!$E$5:$E$204,"Amplified",Assessment!$U$5:$U$204,"ELIGIBLE")&gt;1),"DUPLICATE / RESOLVE","UNIQUE"))</x:f>
      </x:c>
    </x:row>
    <x:row r="40" ht="32" customHeight="1">
      <x:c r="A40" s="21"/>
      <x:c r="B40" s="21"/>
      <x:c r="C40" s="29" t="str">
        <x:f>IF($A40="","",IF(COUNTIFS(Assessment!$B$5:$B$204,$A40,Assessment!$C$5:$C$204,$B40,Assessment!$D$5:$D$204,"Baseline",Assessment!$E$5:$E$204,"Independent",Assessment!$U$5:$U$204,"ELIGIBLE")=1,SUMIFS(Assessment!$N$5:$N$204,Assessment!$B$5:$B$204,$A40,Assessment!$C$5:$C$204,$B40,Assessment!$D$5:$D$204,"Baseline",Assessment!$E$5:$E$204,"Independent",Assessment!$U$5:$U$204,"ELIGIBLE"),""))</x:f>
      </x:c>
      <x:c r="D40" s="29" t="str">
        <x:f>IF($A40="","",IF(COUNTIFS(Assessment!$B$5:$B$204,$A40,Assessment!$C$5:$C$204,$B40,Assessment!$D$5:$D$204,"Post",Assessment!$E$5:$E$204,"Independent",Assessment!$U$5:$U$204,"ELIGIBLE")=1,SUMIFS(Assessment!$N$5:$N$204,Assessment!$B$5:$B$204,$A40,Assessment!$C$5:$C$204,$B40,Assessment!$D$5:$D$204,"Post",Assessment!$E$5:$E$204,"Independent",Assessment!$U$5:$U$204,"ELIGIBLE"),""))</x:f>
      </x:c>
      <x:c r="E40" s="29" t="str">
        <x:f>IF($A40="","",IF(COUNTIFS(Assessment!$B$5:$B$204,$A40,Assessment!$C$5:$C$204,$B40,Assessment!$D$5:$D$204,"Delayed",Assessment!$E$5:$E$204,"Independent",Assessment!$U$5:$U$204,"ELIGIBLE")=1,SUMIFS(Assessment!$N$5:$N$204,Assessment!$B$5:$B$204,$A40,Assessment!$C$5:$C$204,$B40,Assessment!$D$5:$D$204,"Delayed",Assessment!$E$5:$E$204,"Independent",Assessment!$U$5:$U$204,"ELIGIBLE"),""))</x:f>
      </x:c>
      <x:c r="F40" s="29" t="str">
        <x:f>IF(A40="","",IF(AND(ISNUMBER(C40),ISNUMBER(D40)),D40-C40,""))</x:f>
      </x:c>
      <x:c r="G40" s="29" t="str">
        <x:f>IF($A40="","",IF(COUNTIFS(Assessment!$B$5:$B$204,$A40,Assessment!$C$5:$C$204,$B40,Assessment!$D$5:$D$204,"Post",Assessment!$E$5:$E$204,"Amplified",Assessment!$U$5:$U$204,"ELIGIBLE")=1,SUMIFS(Assessment!$N$5:$N$204,Assessment!$B$5:$B$204,$A40,Assessment!$C$5:$C$204,$B40,Assessment!$D$5:$D$204,"Post",Assessment!$E$5:$E$204,"Amplified",Assessment!$U$5:$U$204,"ELIGIBLE"),""))</x:f>
      </x:c>
      <x:c r="H40" s="26" t="str">
        <x:f>IF(A40="","",IF(ISNUMBER(D40),IF(ISNUMBER(C40),"POST COMPLETE / PAIRED","POST COMPLETE / UNPAIRED"),"POST MISSING"))</x:f>
      </x:c>
      <x:c r="I40" s="26" t="str">
        <x:f>IF(A40="","",IF(OR(COUNTIF($A$5:$A$44,A40)&gt;1,COUNTIFS(Assessment!$B$5:$B$204,A40,Assessment!$C$5:$C$204,B40,Assessment!$D$5:$D$204,"Baseline",Assessment!$E$5:$E$204,"Independent",Assessment!$U$5:$U$204,"ELIGIBLE")&gt;1,COUNTIFS(Assessment!$B$5:$B$204,A40,Assessment!$C$5:$C$204,B40,Assessment!$D$5:$D$204,"Post",Assessment!$E$5:$E$204,"Independent",Assessment!$U$5:$U$204,"ELIGIBLE")&gt;1,COUNTIFS(Assessment!$B$5:$B$204,A40,Assessment!$C$5:$C$204,B40,Assessment!$D$5:$D$204,"Delayed",Assessment!$E$5:$E$204,"Independent",Assessment!$U$5:$U$204,"ELIGIBLE")&gt;1,COUNTIFS(Assessment!$B$5:$B$204,A40,Assessment!$C$5:$C$204,B40,Assessment!$D$5:$D$204,"Post",Assessment!$E$5:$E$204,"Amplified",Assessment!$U$5:$U$204,"ELIGIBLE")&gt;1),"DUPLICATE / RESOLVE","UNIQUE"))</x:f>
      </x:c>
    </x:row>
    <x:row r="41" ht="32" customHeight="1">
      <x:c r="A41" s="21"/>
      <x:c r="B41" s="21"/>
      <x:c r="C41" s="29" t="str">
        <x:f>IF($A41="","",IF(COUNTIFS(Assessment!$B$5:$B$204,$A41,Assessment!$C$5:$C$204,$B41,Assessment!$D$5:$D$204,"Baseline",Assessment!$E$5:$E$204,"Independent",Assessment!$U$5:$U$204,"ELIGIBLE")=1,SUMIFS(Assessment!$N$5:$N$204,Assessment!$B$5:$B$204,$A41,Assessment!$C$5:$C$204,$B41,Assessment!$D$5:$D$204,"Baseline",Assessment!$E$5:$E$204,"Independent",Assessment!$U$5:$U$204,"ELIGIBLE"),""))</x:f>
      </x:c>
      <x:c r="D41" s="29" t="str">
        <x:f>IF($A41="","",IF(COUNTIFS(Assessment!$B$5:$B$204,$A41,Assessment!$C$5:$C$204,$B41,Assessment!$D$5:$D$204,"Post",Assessment!$E$5:$E$204,"Independent",Assessment!$U$5:$U$204,"ELIGIBLE")=1,SUMIFS(Assessment!$N$5:$N$204,Assessment!$B$5:$B$204,$A41,Assessment!$C$5:$C$204,$B41,Assessment!$D$5:$D$204,"Post",Assessment!$E$5:$E$204,"Independent",Assessment!$U$5:$U$204,"ELIGIBLE"),""))</x:f>
      </x:c>
      <x:c r="E41" s="29" t="str">
        <x:f>IF($A41="","",IF(COUNTIFS(Assessment!$B$5:$B$204,$A41,Assessment!$C$5:$C$204,$B41,Assessment!$D$5:$D$204,"Delayed",Assessment!$E$5:$E$204,"Independent",Assessment!$U$5:$U$204,"ELIGIBLE")=1,SUMIFS(Assessment!$N$5:$N$204,Assessment!$B$5:$B$204,$A41,Assessment!$C$5:$C$204,$B41,Assessment!$D$5:$D$204,"Delayed",Assessment!$E$5:$E$204,"Independent",Assessment!$U$5:$U$204,"ELIGIBLE"),""))</x:f>
      </x:c>
      <x:c r="F41" s="29" t="str">
        <x:f>IF(A41="","",IF(AND(ISNUMBER(C41),ISNUMBER(D41)),D41-C41,""))</x:f>
      </x:c>
      <x:c r="G41" s="29" t="str">
        <x:f>IF($A41="","",IF(COUNTIFS(Assessment!$B$5:$B$204,$A41,Assessment!$C$5:$C$204,$B41,Assessment!$D$5:$D$204,"Post",Assessment!$E$5:$E$204,"Amplified",Assessment!$U$5:$U$204,"ELIGIBLE")=1,SUMIFS(Assessment!$N$5:$N$204,Assessment!$B$5:$B$204,$A41,Assessment!$C$5:$C$204,$B41,Assessment!$D$5:$D$204,"Post",Assessment!$E$5:$E$204,"Amplified",Assessment!$U$5:$U$204,"ELIGIBLE"),""))</x:f>
      </x:c>
      <x:c r="H41" s="26" t="str">
        <x:f>IF(A41="","",IF(ISNUMBER(D41),IF(ISNUMBER(C41),"POST COMPLETE / PAIRED","POST COMPLETE / UNPAIRED"),"POST MISSING"))</x:f>
      </x:c>
      <x:c r="I41" s="26" t="str">
        <x:f>IF(A41="","",IF(OR(COUNTIF($A$5:$A$44,A41)&gt;1,COUNTIFS(Assessment!$B$5:$B$204,A41,Assessment!$C$5:$C$204,B41,Assessment!$D$5:$D$204,"Baseline",Assessment!$E$5:$E$204,"Independent",Assessment!$U$5:$U$204,"ELIGIBLE")&gt;1,COUNTIFS(Assessment!$B$5:$B$204,A41,Assessment!$C$5:$C$204,B41,Assessment!$D$5:$D$204,"Post",Assessment!$E$5:$E$204,"Independent",Assessment!$U$5:$U$204,"ELIGIBLE")&gt;1,COUNTIFS(Assessment!$B$5:$B$204,A41,Assessment!$C$5:$C$204,B41,Assessment!$D$5:$D$204,"Delayed",Assessment!$E$5:$E$204,"Independent",Assessment!$U$5:$U$204,"ELIGIBLE")&gt;1,COUNTIFS(Assessment!$B$5:$B$204,A41,Assessment!$C$5:$C$204,B41,Assessment!$D$5:$D$204,"Post",Assessment!$E$5:$E$204,"Amplified",Assessment!$U$5:$U$204,"ELIGIBLE")&gt;1),"DUPLICATE / RESOLVE","UNIQUE"))</x:f>
      </x:c>
    </x:row>
    <x:row r="42" ht="32" customHeight="1">
      <x:c r="A42" s="21"/>
      <x:c r="B42" s="21"/>
      <x:c r="C42" s="29" t="str">
        <x:f>IF($A42="","",IF(COUNTIFS(Assessment!$B$5:$B$204,$A42,Assessment!$C$5:$C$204,$B42,Assessment!$D$5:$D$204,"Baseline",Assessment!$E$5:$E$204,"Independent",Assessment!$U$5:$U$204,"ELIGIBLE")=1,SUMIFS(Assessment!$N$5:$N$204,Assessment!$B$5:$B$204,$A42,Assessment!$C$5:$C$204,$B42,Assessment!$D$5:$D$204,"Baseline",Assessment!$E$5:$E$204,"Independent",Assessment!$U$5:$U$204,"ELIGIBLE"),""))</x:f>
      </x:c>
      <x:c r="D42" s="29" t="str">
        <x:f>IF($A42="","",IF(COUNTIFS(Assessment!$B$5:$B$204,$A42,Assessment!$C$5:$C$204,$B42,Assessment!$D$5:$D$204,"Post",Assessment!$E$5:$E$204,"Independent",Assessment!$U$5:$U$204,"ELIGIBLE")=1,SUMIFS(Assessment!$N$5:$N$204,Assessment!$B$5:$B$204,$A42,Assessment!$C$5:$C$204,$B42,Assessment!$D$5:$D$204,"Post",Assessment!$E$5:$E$204,"Independent",Assessment!$U$5:$U$204,"ELIGIBLE"),""))</x:f>
      </x:c>
      <x:c r="E42" s="29" t="str">
        <x:f>IF($A42="","",IF(COUNTIFS(Assessment!$B$5:$B$204,$A42,Assessment!$C$5:$C$204,$B42,Assessment!$D$5:$D$204,"Delayed",Assessment!$E$5:$E$204,"Independent",Assessment!$U$5:$U$204,"ELIGIBLE")=1,SUMIFS(Assessment!$N$5:$N$204,Assessment!$B$5:$B$204,$A42,Assessment!$C$5:$C$204,$B42,Assessment!$D$5:$D$204,"Delayed",Assessment!$E$5:$E$204,"Independent",Assessment!$U$5:$U$204,"ELIGIBLE"),""))</x:f>
      </x:c>
      <x:c r="F42" s="29" t="str">
        <x:f>IF(A42="","",IF(AND(ISNUMBER(C42),ISNUMBER(D42)),D42-C42,""))</x:f>
      </x:c>
      <x:c r="G42" s="29" t="str">
        <x:f>IF($A42="","",IF(COUNTIFS(Assessment!$B$5:$B$204,$A42,Assessment!$C$5:$C$204,$B42,Assessment!$D$5:$D$204,"Post",Assessment!$E$5:$E$204,"Amplified",Assessment!$U$5:$U$204,"ELIGIBLE")=1,SUMIFS(Assessment!$N$5:$N$204,Assessment!$B$5:$B$204,$A42,Assessment!$C$5:$C$204,$B42,Assessment!$D$5:$D$204,"Post",Assessment!$E$5:$E$204,"Amplified",Assessment!$U$5:$U$204,"ELIGIBLE"),""))</x:f>
      </x:c>
      <x:c r="H42" s="26" t="str">
        <x:f>IF(A42="","",IF(ISNUMBER(D42),IF(ISNUMBER(C42),"POST COMPLETE / PAIRED","POST COMPLETE / UNPAIRED"),"POST MISSING"))</x:f>
      </x:c>
      <x:c r="I42" s="26" t="str">
        <x:f>IF(A42="","",IF(OR(COUNTIF($A$5:$A$44,A42)&gt;1,COUNTIFS(Assessment!$B$5:$B$204,A42,Assessment!$C$5:$C$204,B42,Assessment!$D$5:$D$204,"Baseline",Assessment!$E$5:$E$204,"Independent",Assessment!$U$5:$U$204,"ELIGIBLE")&gt;1,COUNTIFS(Assessment!$B$5:$B$204,A42,Assessment!$C$5:$C$204,B42,Assessment!$D$5:$D$204,"Post",Assessment!$E$5:$E$204,"Independent",Assessment!$U$5:$U$204,"ELIGIBLE")&gt;1,COUNTIFS(Assessment!$B$5:$B$204,A42,Assessment!$C$5:$C$204,B42,Assessment!$D$5:$D$204,"Delayed",Assessment!$E$5:$E$204,"Independent",Assessment!$U$5:$U$204,"ELIGIBLE")&gt;1,COUNTIFS(Assessment!$B$5:$B$204,A42,Assessment!$C$5:$C$204,B42,Assessment!$D$5:$D$204,"Post",Assessment!$E$5:$E$204,"Amplified",Assessment!$U$5:$U$204,"ELIGIBLE")&gt;1),"DUPLICATE / RESOLVE","UNIQUE"))</x:f>
      </x:c>
    </x:row>
    <x:row r="43" ht="32" customHeight="1">
      <x:c r="A43" s="21"/>
      <x:c r="B43" s="21"/>
      <x:c r="C43" s="29" t="str">
        <x:f>IF($A43="","",IF(COUNTIFS(Assessment!$B$5:$B$204,$A43,Assessment!$C$5:$C$204,$B43,Assessment!$D$5:$D$204,"Baseline",Assessment!$E$5:$E$204,"Independent",Assessment!$U$5:$U$204,"ELIGIBLE")=1,SUMIFS(Assessment!$N$5:$N$204,Assessment!$B$5:$B$204,$A43,Assessment!$C$5:$C$204,$B43,Assessment!$D$5:$D$204,"Baseline",Assessment!$E$5:$E$204,"Independent",Assessment!$U$5:$U$204,"ELIGIBLE"),""))</x:f>
      </x:c>
      <x:c r="D43" s="29" t="str">
        <x:f>IF($A43="","",IF(COUNTIFS(Assessment!$B$5:$B$204,$A43,Assessment!$C$5:$C$204,$B43,Assessment!$D$5:$D$204,"Post",Assessment!$E$5:$E$204,"Independent",Assessment!$U$5:$U$204,"ELIGIBLE")=1,SUMIFS(Assessment!$N$5:$N$204,Assessment!$B$5:$B$204,$A43,Assessment!$C$5:$C$204,$B43,Assessment!$D$5:$D$204,"Post",Assessment!$E$5:$E$204,"Independent",Assessment!$U$5:$U$204,"ELIGIBLE"),""))</x:f>
      </x:c>
      <x:c r="E43" s="29" t="str">
        <x:f>IF($A43="","",IF(COUNTIFS(Assessment!$B$5:$B$204,$A43,Assessment!$C$5:$C$204,$B43,Assessment!$D$5:$D$204,"Delayed",Assessment!$E$5:$E$204,"Independent",Assessment!$U$5:$U$204,"ELIGIBLE")=1,SUMIFS(Assessment!$N$5:$N$204,Assessment!$B$5:$B$204,$A43,Assessment!$C$5:$C$204,$B43,Assessment!$D$5:$D$204,"Delayed",Assessment!$E$5:$E$204,"Independent",Assessment!$U$5:$U$204,"ELIGIBLE"),""))</x:f>
      </x:c>
      <x:c r="F43" s="29" t="str">
        <x:f>IF(A43="","",IF(AND(ISNUMBER(C43),ISNUMBER(D43)),D43-C43,""))</x:f>
      </x:c>
      <x:c r="G43" s="29" t="str">
        <x:f>IF($A43="","",IF(COUNTIFS(Assessment!$B$5:$B$204,$A43,Assessment!$C$5:$C$204,$B43,Assessment!$D$5:$D$204,"Post",Assessment!$E$5:$E$204,"Amplified",Assessment!$U$5:$U$204,"ELIGIBLE")=1,SUMIFS(Assessment!$N$5:$N$204,Assessment!$B$5:$B$204,$A43,Assessment!$C$5:$C$204,$B43,Assessment!$D$5:$D$204,"Post",Assessment!$E$5:$E$204,"Amplified",Assessment!$U$5:$U$204,"ELIGIBLE"),""))</x:f>
      </x:c>
      <x:c r="H43" s="26" t="str">
        <x:f>IF(A43="","",IF(ISNUMBER(D43),IF(ISNUMBER(C43),"POST COMPLETE / PAIRED","POST COMPLETE / UNPAIRED"),"POST MISSING"))</x:f>
      </x:c>
      <x:c r="I43" s="26" t="str">
        <x:f>IF(A43="","",IF(OR(COUNTIF($A$5:$A$44,A43)&gt;1,COUNTIFS(Assessment!$B$5:$B$204,A43,Assessment!$C$5:$C$204,B43,Assessment!$D$5:$D$204,"Baseline",Assessment!$E$5:$E$204,"Independent",Assessment!$U$5:$U$204,"ELIGIBLE")&gt;1,COUNTIFS(Assessment!$B$5:$B$204,A43,Assessment!$C$5:$C$204,B43,Assessment!$D$5:$D$204,"Post",Assessment!$E$5:$E$204,"Independent",Assessment!$U$5:$U$204,"ELIGIBLE")&gt;1,COUNTIFS(Assessment!$B$5:$B$204,A43,Assessment!$C$5:$C$204,B43,Assessment!$D$5:$D$204,"Delayed",Assessment!$E$5:$E$204,"Independent",Assessment!$U$5:$U$204,"ELIGIBLE")&gt;1,COUNTIFS(Assessment!$B$5:$B$204,A43,Assessment!$C$5:$C$204,B43,Assessment!$D$5:$D$204,"Post",Assessment!$E$5:$E$204,"Amplified",Assessment!$U$5:$U$204,"ELIGIBLE")&gt;1),"DUPLICATE / RESOLVE","UNIQUE"))</x:f>
      </x:c>
    </x:row>
    <x:row r="44" ht="32" customHeight="1">
      <x:c r="A44" s="21"/>
      <x:c r="B44" s="21"/>
      <x:c r="C44" s="29" t="str">
        <x:f>IF($A44="","",IF(COUNTIFS(Assessment!$B$5:$B$204,$A44,Assessment!$C$5:$C$204,$B44,Assessment!$D$5:$D$204,"Baseline",Assessment!$E$5:$E$204,"Independent",Assessment!$U$5:$U$204,"ELIGIBLE")=1,SUMIFS(Assessment!$N$5:$N$204,Assessment!$B$5:$B$204,$A44,Assessment!$C$5:$C$204,$B44,Assessment!$D$5:$D$204,"Baseline",Assessment!$E$5:$E$204,"Independent",Assessment!$U$5:$U$204,"ELIGIBLE"),""))</x:f>
      </x:c>
      <x:c r="D44" s="29" t="str">
        <x:f>IF($A44="","",IF(COUNTIFS(Assessment!$B$5:$B$204,$A44,Assessment!$C$5:$C$204,$B44,Assessment!$D$5:$D$204,"Post",Assessment!$E$5:$E$204,"Independent",Assessment!$U$5:$U$204,"ELIGIBLE")=1,SUMIFS(Assessment!$N$5:$N$204,Assessment!$B$5:$B$204,$A44,Assessment!$C$5:$C$204,$B44,Assessment!$D$5:$D$204,"Post",Assessment!$E$5:$E$204,"Independent",Assessment!$U$5:$U$204,"ELIGIBLE"),""))</x:f>
      </x:c>
      <x:c r="E44" s="29" t="str">
        <x:f>IF($A44="","",IF(COUNTIFS(Assessment!$B$5:$B$204,$A44,Assessment!$C$5:$C$204,$B44,Assessment!$D$5:$D$204,"Delayed",Assessment!$E$5:$E$204,"Independent",Assessment!$U$5:$U$204,"ELIGIBLE")=1,SUMIFS(Assessment!$N$5:$N$204,Assessment!$B$5:$B$204,$A44,Assessment!$C$5:$C$204,$B44,Assessment!$D$5:$D$204,"Delayed",Assessment!$E$5:$E$204,"Independent",Assessment!$U$5:$U$204,"ELIGIBLE"),""))</x:f>
      </x:c>
      <x:c r="F44" s="29" t="str">
        <x:f>IF(A44="","",IF(AND(ISNUMBER(C44),ISNUMBER(D44)),D44-C44,""))</x:f>
      </x:c>
      <x:c r="G44" s="29" t="str">
        <x:f>IF($A44="","",IF(COUNTIFS(Assessment!$B$5:$B$204,$A44,Assessment!$C$5:$C$204,$B44,Assessment!$D$5:$D$204,"Post",Assessment!$E$5:$E$204,"Amplified",Assessment!$U$5:$U$204,"ELIGIBLE")=1,SUMIFS(Assessment!$N$5:$N$204,Assessment!$B$5:$B$204,$A44,Assessment!$C$5:$C$204,$B44,Assessment!$D$5:$D$204,"Post",Assessment!$E$5:$E$204,"Amplified",Assessment!$U$5:$U$204,"ELIGIBLE"),""))</x:f>
      </x:c>
      <x:c r="H44" s="26" t="str">
        <x:f>IF(A44="","",IF(ISNUMBER(D44),IF(ISNUMBER(C44),"POST COMPLETE / PAIRED","POST COMPLETE / UNPAIRED"),"POST MISSING"))</x:f>
      </x:c>
      <x:c r="I44" s="26" t="str">
        <x:f>IF(A44="","",IF(OR(COUNTIF($A$5:$A$44,A44)&gt;1,COUNTIFS(Assessment!$B$5:$B$204,A44,Assessment!$C$5:$C$204,B44,Assessment!$D$5:$D$204,"Baseline",Assessment!$E$5:$E$204,"Independent",Assessment!$U$5:$U$204,"ELIGIBLE")&gt;1,COUNTIFS(Assessment!$B$5:$B$204,A44,Assessment!$C$5:$C$204,B44,Assessment!$D$5:$D$204,"Post",Assessment!$E$5:$E$204,"Independent",Assessment!$U$5:$U$204,"ELIGIBLE")&gt;1,COUNTIFS(Assessment!$B$5:$B$204,A44,Assessment!$C$5:$C$204,B44,Assessment!$D$5:$D$204,"Delayed",Assessment!$E$5:$E$204,"Independent",Assessment!$U$5:$U$204,"ELIGIBLE")&gt;1,COUNTIFS(Assessment!$B$5:$B$204,A44,Assessment!$C$5:$C$204,B44,Assessment!$D$5:$D$204,"Post",Assessment!$E$5:$E$204,"Amplified",Assessment!$U$5:$U$204,"ELIGIBLE")&gt;1),"DUPLICATE / RESOLVE","UNIQUE"))</x:f>
      </x:c>
    </x:row>
  </x:sheetData>
  <x:mergeCells>
    <x:mergeCell ref="A1:I1"/>
    <x:mergeCell ref="A2:I2"/>
  </x:mergeCells>
  <x:conditionalFormatting sqref="I5:I44">
    <x:cfRule type="expression" dxfId="0" priority="1">
      <x:formula>$I5="DUPLICATE / RESOLVE"</x:formula>
    </x:cfRule>
  </x:conditionalFormatting>
  <x:dataValidations count="1">
    <x:dataValidation type="list" sqref="B5:B44">
      <x:formula1>"CERPA,Comparison"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7a3c45b2384940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0" hidden="0" customWidth="1"/>
    <x:col min="4" max="4" width="38" hidden="0" customWidth="1"/>
    <x:col min="5" max="5" width="40" hidden="0" customWidth="1"/>
    <x:col min="6" max="6" width="30" hidden="0" customWidth="1"/>
    <x:col min="7" max="7" width="27" hidden="0" customWidth="1"/>
    <x:col min="8" max="8" width="38" hidden="0" customWidth="1"/>
    <x:col min="9" max="9" width="18" hidden="0" customWidth="1"/>
    <x:col min="10" max="10" width="25" hidden="0" customWidth="1"/>
  </x:cols>
  <x:sheetData>
    <x:row r="1" ht="32" customHeight="1">
      <x:c r="A1" s="9" t="str">
        <x:v>Σ FIRST | BOUNDED MEMORY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2" customHeight="1">
      <x:c r="A2" s="13" t="str">
        <x:v>Preserve lessons, counterexamples, and unsupported boundaries. Do not turn one episode into a universal rule.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32" customHeight="1">
      <x:c r="A4" s="17" t="str">
        <x:v>Memory_ID</x:v>
      </x:c>
      <x:c r="B4" s="17" t="str">
        <x:v>Episode_ID</x:v>
      </x:c>
      <x:c r="C4" s="17" t="str">
        <x:v>Lesson</x:v>
      </x:c>
      <x:c r="D4" s="17" t="str">
        <x:v>Supported_Boundary</x:v>
      </x:c>
      <x:c r="E4" s="17" t="str">
        <x:v>Do_Not_Generalize</x:v>
      </x:c>
      <x:c r="F4" s="17" t="str">
        <x:v>Supersedes</x:v>
      </x:c>
      <x:c r="G4" s="17" t="str">
        <x:v>Reviewer_Role</x:v>
      </x:c>
      <x:c r="H4" s="17" t="str">
        <x:v>Evidence_Ref</x:v>
      </x:c>
      <x:c r="I4" s="17" t="str">
        <x:v>Record_Type</x:v>
      </x:c>
      <x:c r="J4" s="17" t="str">
        <x:v>Recorded_At_UTC</x:v>
      </x:c>
    </x:row>
    <x:row r="5" ht="54" customHeight="1">
      <x:c r="A5" s="21" t="str">
        <x:v>DEMO-M1</x:v>
      </x:c>
      <x:c r="B5" s="21" t="str">
        <x:v>DEMO-001</x:v>
      </x:c>
      <x:c r="C5" s="21" t="str">
        <x:v>Review demand assumptions before changing a governing model</x:v>
      </x:c>
      <x:c r="D5" s="21" t="str">
        <x:v>Constant-load synthetic arithmetic only</x:v>
      </x:c>
      <x:c r="E5" s="21" t="str">
        <x:v>Not evidence of battery safety, student learning, or real service continuity</x:v>
      </x:c>
      <x:c r="F5" s="21" t="str">
        <x:v>Initial unbounded load assumption</x:v>
      </x:c>
      <x:c r="G5" s="21" t="str">
        <x:v>Simulated reviewer</x:v>
      </x:c>
      <x:c r="H5" s="21" t="str">
        <x:v>DEMO-C1; DEMO-E1; DEMO-R1; DEMO-P1; DEMO-A1</x:v>
      </x:c>
      <x:c r="I5" s="21" t="str">
        <x:v>SYNTHETIC</x:v>
      </x:c>
      <x:c r="J5" s="21" t="n">
        <x:v>46318.25277777778</x:v>
      </x:c>
    </x:row>
    <x:row r="6" ht="3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7" ht="32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</x:row>
    <x:row r="8" ht="32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</x:row>
    <x:row r="9" ht="32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3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 ht="3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2" ht="3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2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 ht="32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 ht="3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 ht="3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 ht="3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 ht="32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19" ht="32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</x:row>
    <x:row r="45" ht="32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</x:row>
    <x:row r="46" ht="32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</x:row>
    <x:row r="47" ht="32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</x:row>
    <x:row r="48" ht="32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</x:row>
    <x:row r="49" ht="32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</x:row>
    <x:row r="50" ht="32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</x:row>
    <x:row r="51" ht="32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</x:row>
    <x:row r="52" ht="32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</x:row>
    <x:row r="53" ht="32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</x:row>
    <x:row r="54" ht="32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</x:row>
    <x:row r="55" ht="32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</x:row>
    <x:row r="56" ht="32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</x:row>
    <x:row r="57" ht="32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</x:row>
    <x:row r="58" ht="32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</x:row>
    <x:row r="59" ht="32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</x:row>
    <x:row r="60" ht="3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</x:row>
    <x:row r="61" ht="32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</x:row>
    <x:row r="62" ht="32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</x:row>
    <x:row r="63" ht="32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</x:row>
    <x:row r="64" ht="32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</x:row>
    <x:row r="65" ht="32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</x:row>
    <x:row r="66" ht="32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</x:row>
    <x:row r="67" ht="32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</x:row>
    <x:row r="68" ht="32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</x:row>
    <x:row r="69" ht="32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</x:row>
    <x:row r="70" ht="32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</x:row>
    <x:row r="71" ht="32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</x:row>
    <x:row r="72" ht="32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</x:row>
    <x:row r="73" ht="32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</x:row>
    <x:row r="74" ht="32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</x:row>
    <x:row r="75" ht="32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</x:row>
    <x:row r="76" ht="32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</x:row>
    <x:row r="77" ht="32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</x:row>
    <x:row r="78" ht="32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</x:row>
    <x:row r="79" ht="32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</x:row>
    <x:row r="80" ht="32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</x:row>
    <x:row r="81" ht="32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</x:row>
    <x:row r="82" ht="32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</x:row>
    <x:row r="83" ht="32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</x:row>
    <x:row r="84" ht="32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</x:row>
    <x:row r="85" ht="32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</x:row>
    <x:row r="86" ht="32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</x:row>
    <x:row r="87" ht="32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</x:row>
    <x:row r="88" ht="32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</x:row>
    <x:row r="89" ht="32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</x:row>
    <x:row r="90" ht="32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</x:row>
    <x:row r="91" ht="32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</x:row>
    <x:row r="92" ht="32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</x:row>
    <x:row r="93" ht="32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</x:row>
    <x:row r="94" ht="32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</x:row>
    <x:row r="95" ht="32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</x:row>
    <x:row r="96" ht="32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</x:row>
    <x:row r="97" ht="32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</x:row>
    <x:row r="98" ht="32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</x:row>
    <x:row r="99" ht="32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</x:row>
    <x:row r="100" ht="32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</x:row>
    <x:row r="101" ht="32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</x:row>
    <x:row r="102" ht="32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</x:row>
    <x:row r="103" ht="32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</x:row>
    <x:row r="104" ht="32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</x:row>
  </x:sheetData>
  <x:mergeCells>
    <x:mergeCell ref="A1:J1"/>
    <x:mergeCell ref="A2:J2"/>
  </x:mergeCells>
  <x:dataValidations count="1">
    <x:dataValidation type="list" sqref="I5:I104">
      <x:formula1>"LIVE,SYNTHETIC,TEST"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51ea334ad74c45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0" hidden="0" customWidth="1"/>
    <x:col min="4" max="4" width="26" hidden="0" customWidth="1"/>
    <x:col min="5" max="5" width="25" hidden="0" customWidth="1"/>
    <x:col min="6" max="6" width="25" hidden="0" customWidth="1"/>
    <x:col min="7" max="7" width="40" hidden="0" customWidth="1"/>
    <x:col min="8" max="8" width="23" hidden="0" customWidth="1"/>
    <x:col min="9" max="9" width="34" hidden="0" customWidth="1"/>
    <x:col min="10" max="10" width="25" hidden="0" customWidth="1"/>
    <x:col min="11" max="11" width="25" hidden="0" customWidth="1"/>
    <x:col min="12" max="12" width="40" hidden="0" customWidth="1"/>
  </x:cols>
  <x:sheetData>
    <x:row r="1" ht="32" customHeight="1">
      <x:c r="A1" s="9" t="str">
        <x:v>Σ FIRST | PILOT AND GATES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32" customHeight="1">
      <x:c r="A2" s="13" t="str">
        <x:v>Relative schedule only. Start date is unscheduled. No person, institution, or learner has been assigned by this build.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2" customHeight="1">
      <x:c r="A4" s="17" t="str">
        <x:v>Item_ID</x:v>
      </x:c>
      <x:c r="B4" s="17" t="str">
        <x:v>Phase</x:v>
      </x:c>
      <x:c r="C4" s="17" t="str">
        <x:v>Action_or_Gate</x:v>
      </x:c>
      <x:c r="D4" s="17" t="str">
        <x:v>Owner_Role</x:v>
      </x:c>
      <x:c r="E4" s="17" t="str">
        <x:v>Assigned_Person</x:v>
      </x:c>
      <x:c r="F4" s="17" t="str">
        <x:v>Timing</x:v>
      </x:c>
      <x:c r="G4" s="17" t="str">
        <x:v>Evidence_Required</x:v>
      </x:c>
      <x:c r="H4" s="17" t="str">
        <x:v>Status</x:v>
      </x:c>
      <x:c r="I4" s="17" t="str">
        <x:v>Evidence_Ref</x:v>
      </x:c>
      <x:c r="J4" s="17" t="str">
        <x:v>Decision_By</x:v>
      </x:c>
      <x:c r="K4" s="17" t="str">
        <x:v>Decision_At_UTC</x:v>
      </x:c>
      <x:c r="L4" s="17" t="str">
        <x:v>Notes</x:v>
      </x:c>
    </x:row>
    <x:row r="5" ht="54" customHeight="1">
      <x:c r="A5" s="21" t="str">
        <x:v>SET-01</x:v>
      </x:c>
      <x:c r="B5" s="21" t="str">
        <x:v>Preparation</x:v>
      </x:c>
      <x:c r="C5" s="21" t="str">
        <x:v>Review the playbook and workbook</x:v>
      </x:c>
      <x:c r="D5" s="21" t="str">
        <x:v>Sponsor</x:v>
      </x:c>
      <x:c r="E5" s="21" t="str"/>
      <x:c r="F5" s="21" t="str">
        <x:v>Before recruitment</x:v>
      </x:c>
      <x:c r="G5" s="21" t="str">
        <x:v>Approval or requested revisions</x:v>
      </x:c>
      <x:c r="H5" s="21" t="str">
        <x:v>Ready for review</x:v>
      </x:c>
      <x:c r="I5" s="21" t="str">
        <x:v>Playbook v0.1; workbook v0.1</x:v>
      </x:c>
      <x:c r="J5" s="21" t="str"/>
      <x:c r="K5" s="21" t="str"/>
      <x:c r="L5" s="21" t="str">
        <x:v>Files prepared; no institutional approval claimed.</x:v>
      </x:c>
    </x:row>
    <x:row r="6" ht="54" customHeight="1">
      <x:c r="A6" s="21" t="str">
        <x:v>SET-02</x:v>
      </x:c>
      <x:c r="B6" s="21" t="str">
        <x:v>Preparation</x:v>
      </x:c>
      <x:c r="C6" s="21" t="str">
        <x:v>Name faculty, assessment, and data owners</x:v>
      </x:c>
      <x:c r="D6" s="21" t="str">
        <x:v>Sponsor</x:v>
      </x:c>
      <x:c r="E6" s="21" t="str"/>
      <x:c r="F6" s="21" t="str">
        <x:v>Before recruitment</x:v>
      </x:c>
      <x:c r="G6" s="21" t="str">
        <x:v>Named accountable owners</x:v>
      </x:c>
      <x:c r="H6" s="21" t="str">
        <x:v>Not started</x:v>
      </x:c>
      <x:c r="I6" s="21" t="str"/>
      <x:c r="J6" s="21" t="str"/>
      <x:c r="K6" s="21" t="str"/>
      <x:c r="L6" s="21" t="str"/>
    </x:row>
    <x:row r="7" ht="54" customHeight="1">
      <x:c r="A7" s="21" t="str">
        <x:v>SET-03</x:v>
      </x:c>
      <x:c r="B7" s="21" t="str">
        <x:v>Preparation</x:v>
      </x:c>
      <x:c r="C7" s="21" t="str">
        <x:v>Resolve institutional ethics / privacy determination</x:v>
      </x:c>
      <x:c r="D7" s="21" t="str">
        <x:v>Institutional authority</x:v>
      </x:c>
      <x:c r="E7" s="21" t="str"/>
      <x:c r="F7" s="21" t="str">
        <x:v>Before recruitment</x:v>
      </x:c>
      <x:c r="G7" s="21" t="str">
        <x:v>Documented institutional determination</x:v>
      </x:c>
      <x:c r="H7" s="21" t="str">
        <x:v>Not started</x:v>
      </x:c>
      <x:c r="I7" s="21" t="str"/>
      <x:c r="J7" s="21" t="str"/>
      <x:c r="K7" s="21" t="str"/>
      <x:c r="L7" s="21" t="str">
        <x:v>Do not self-declare exemption.</x:v>
      </x:c>
    </x:row>
    <x:row r="8" ht="54" customHeight="1">
      <x:c r="A8" s="21" t="str">
        <x:v>SET-04</x:v>
      </x:c>
      <x:c r="B8" s="21" t="str">
        <x:v>Preparation</x:v>
      </x:c>
      <x:c r="C8" s="21" t="str">
        <x:v>Choose module, problem, and prerequisites</x:v>
      </x:c>
      <x:c r="D8" s="21" t="str">
        <x:v>Faculty lead</x:v>
      </x:c>
      <x:c r="E8" s="21" t="str"/>
      <x:c r="F8" s="21" t="str">
        <x:v>Before week 1</x:v>
      </x:c>
      <x:c r="G8" s="21" t="str">
        <x:v>Curriculum map and prerequisites</x:v>
      </x:c>
      <x:c r="H8" s="21" t="str">
        <x:v>Not started</x:v>
      </x:c>
      <x:c r="I8" s="21" t="str"/>
      <x:c r="J8" s="21" t="str"/>
      <x:c r="K8" s="21" t="str"/>
      <x:c r="L8" s="21" t="str"/>
    </x:row>
    <x:row r="9" ht="54" customHeight="1">
      <x:c r="A9" s="21" t="str">
        <x:v>SET-05</x:v>
      </x:c>
      <x:c r="B9" s="21" t="str">
        <x:v>Preparation</x:v>
      </x:c>
      <x:c r="C9" s="21" t="str">
        <x:v>Lock protocol, tasks, forms, and AI rules</x:v>
      </x:c>
      <x:c r="D9" s="21" t="str">
        <x:v>Assessment lead</x:v>
      </x:c>
      <x:c r="E9" s="21" t="str"/>
      <x:c r="F9" s="21" t="str">
        <x:v>Before outcomes</x:v>
      </x:c>
      <x:c r="G9" s="21" t="str">
        <x:v>Versioned protocol and secured task bank</x:v>
      </x:c>
      <x:c r="H9" s="21" t="str">
        <x:v>Not started</x:v>
      </x:c>
      <x:c r="I9" s="21" t="str"/>
      <x:c r="J9" s="21" t="str"/>
      <x:c r="K9" s="21" t="str"/>
      <x:c r="L9" s="21" t="str"/>
    </x:row>
    <x:row r="10" ht="54" customHeight="1">
      <x:c r="A10" s="21" t="str">
        <x:v>SET-06</x:v>
      </x:c>
      <x:c r="B10" s="21" t="str">
        <x:v>Preparation</x:v>
      </x:c>
      <x:c r="C10" s="21" t="str">
        <x:v>Calibrate independent raters</x:v>
      </x:c>
      <x:c r="D10" s="21" t="str">
        <x:v>Assessment lead</x:v>
      </x:c>
      <x:c r="E10" s="21" t="str"/>
      <x:c r="F10" s="21" t="str">
        <x:v>Before real scoring</x:v>
      </x:c>
      <x:c r="G10" s="21" t="str">
        <x:v>Calibration scores and original disagreement record</x:v>
      </x:c>
      <x:c r="H10" s="21" t="str">
        <x:v>Not started</x:v>
      </x:c>
      <x:c r="I10" s="21" t="str"/>
      <x:c r="J10" s="21" t="str"/>
      <x:c r="K10" s="21" t="str"/>
      <x:c r="L10" s="21" t="str">
        <x:v>Proposed 80% exact dimension agreement.</x:v>
      </x:c>
    </x:row>
    <x:row r="11" ht="54" customHeight="1">
      <x:c r="A11" s="21" t="str">
        <x:v>SET-07</x:v>
      </x:c>
      <x:c r="B11" s="21" t="str">
        <x:v>Preparation</x:v>
      </x:c>
      <x:c r="C11" s="21" t="str">
        <x:v>Approve tools, storage, access, and retention</x:v>
      </x:c>
      <x:c r="D11" s="21" t="str">
        <x:v>Data steward</x:v>
      </x:c>
      <x:c r="E11" s="21" t="str"/>
      <x:c r="F11" s="21" t="str">
        <x:v>Before collection</x:v>
      </x:c>
      <x:c r="G11" s="21" t="str">
        <x:v>Access register; identity-key separation; retention plan</x:v>
      </x:c>
      <x:c r="H11" s="21" t="str">
        <x:v>Not started</x:v>
      </x:c>
      <x:c r="I11" s="21" t="str"/>
      <x:c r="J11" s="21" t="str"/>
      <x:c r="K11" s="21" t="str"/>
      <x:c r="L11" s="21" t="str"/>
    </x:row>
    <x:row r="12" ht="54" customHeight="1">
      <x:c r="A12" s="21" t="str">
        <x:v>SET-08</x:v>
      </x:c>
      <x:c r="B12" s="21" t="str">
        <x:v>Preparation</x:v>
      </x:c>
      <x:c r="C12" s="21" t="str">
        <x:v>Dry-run episode and accessible formats</x:v>
      </x:c>
      <x:c r="D12" s="21" t="str">
        <x:v>Faculty lead</x:v>
      </x:c>
      <x:c r="E12" s="21" t="str"/>
      <x:c r="F12" s="21" t="str">
        <x:v>Before recruitment</x:v>
      </x:c>
      <x:c r="G12" s="21" t="str">
        <x:v>Replay, workload notes, accessibility review</x:v>
      </x:c>
      <x:c r="H12" s="21" t="str">
        <x:v>Not started</x:v>
      </x:c>
      <x:c r="I12" s="21" t="str"/>
      <x:c r="J12" s="21" t="str"/>
      <x:c r="K12" s="21" t="str"/>
      <x:c r="L12" s="21" t="str"/>
    </x:row>
    <x:row r="13" ht="54" customHeight="1">
      <x:c r="A13" s="21" t="str">
        <x:v>G0</x:v>
      </x:c>
      <x:c r="B13" s="21" t="str">
        <x:v>Decision</x:v>
      </x:c>
      <x:c r="C13" s="21" t="str">
        <x:v>Readiness to recruit</x:v>
      </x:c>
      <x:c r="D13" s="21" t="str">
        <x:v>Sponsor</x:v>
      </x:c>
      <x:c r="E13" s="21" t="str"/>
      <x:c r="F13" s="21" t="str">
        <x:v>Before week 1</x:v>
      </x:c>
      <x:c r="G13" s="21" t="str">
        <x:v>All preparatory approvals resolved</x:v>
      </x:c>
      <x:c r="H13" s="21" t="str">
        <x:v>Not started</x:v>
      </x:c>
      <x:c r="I13" s="21" t="str"/>
      <x:c r="J13" s="21" t="str"/>
      <x:c r="K13" s="21" t="str"/>
      <x:c r="L13" s="21" t="str"/>
    </x:row>
    <x:row r="14" ht="54" customHeight="1">
      <x:c r="A14" s="21" t="str">
        <x:v>W1</x:v>
      </x:c>
      <x:c r="B14" s="21" t="str">
        <x:v>Delivery</x:v>
      </x:c>
      <x:c r="C14" s="21" t="str">
        <x:v>Baseline and recorded assignment</x:v>
      </x:c>
      <x:c r="D14" s="21" t="str">
        <x:v>Assessment lead</x:v>
      </x:c>
      <x:c r="E14" s="21" t="str"/>
      <x:c r="F14" s="21" t="str">
        <x:v>Week 1</x:v>
      </x:c>
      <x:c r="G14" s="21" t="str">
        <x:v>Independent baseline and allocated IDs</x:v>
      </x:c>
      <x:c r="H14" s="21" t="str">
        <x:v>Not started</x:v>
      </x:c>
      <x:c r="I14" s="21" t="str"/>
      <x:c r="J14" s="21" t="str"/>
      <x:c r="K14" s="21" t="str"/>
      <x:c r="L14" s="21" t="str"/>
    </x:row>
    <x:row r="15" ht="54" customHeight="1">
      <x:c r="A15" s="21" t="str">
        <x:v>W2-5</x:v>
      </x:c>
      <x:c r="B15" s="21" t="str">
        <x:v>Delivery</x:v>
      </x:c>
      <x:c r="C15" s="21" t="str">
        <x:v>Run lessons, reviews, and revisions</x:v>
      </x:c>
      <x:c r="D15" s="21" t="str">
        <x:v>Faculty lead</x:v>
      </x:c>
      <x:c r="E15" s="21" t="str"/>
      <x:c r="F15" s="21" t="str">
        <x:v>Weeks 2–5</x:v>
      </x:c>
      <x:c r="G15" s="21" t="str">
        <x:v>Artifacts, assistance logs, and burden records</x:v>
      </x:c>
      <x:c r="H15" s="21" t="str">
        <x:v>Not started</x:v>
      </x:c>
      <x:c r="I15" s="21" t="str"/>
      <x:c r="J15" s="21" t="str"/>
      <x:c r="K15" s="21" t="str"/>
      <x:c r="L15" s="21" t="str"/>
    </x:row>
    <x:row r="16" ht="54" customHeight="1">
      <x:c r="A16" s="21" t="str">
        <x:v>W6</x:v>
      </x:c>
      <x:c r="B16" s="21" t="str">
        <x:v>Delivery</x:v>
      </x:c>
      <x:c r="C16" s="21" t="str">
        <x:v>Independent post plus separate amplified task</x:v>
      </x:c>
      <x:c r="D16" s="21" t="str">
        <x:v>Assessment lead</x:v>
      </x:c>
      <x:c r="E16" s="21" t="str"/>
      <x:c r="F16" s="21" t="str">
        <x:v>Week 6</x:v>
      </x:c>
      <x:c r="G16" s="21" t="str">
        <x:v>Blind raw ratings and adjudicated records</x:v>
      </x:c>
      <x:c r="H16" s="21" t="str">
        <x:v>Not started</x:v>
      </x:c>
      <x:c r="I16" s="21" t="str"/>
      <x:c r="J16" s="21" t="str"/>
      <x:c r="K16" s="21" t="str"/>
      <x:c r="L16" s="21" t="str"/>
    </x:row>
    <x:row r="17" ht="54" customHeight="1">
      <x:c r="A17" s="21" t="str">
        <x:v>G1</x:v>
      </x:c>
      <x:c r="B17" s="21" t="str">
        <x:v>Decision</x:v>
      </x:c>
      <x:c r="C17" s="21" t="str">
        <x:v>Review feasibility and scoring quality</x:v>
      </x:c>
      <x:c r="D17" s="21" t="str">
        <x:v>Sponsor</x:v>
      </x:c>
      <x:c r="E17" s="21" t="str"/>
      <x:c r="F17" s="21" t="str">
        <x:v>After week 6</x:v>
      </x:c>
      <x:c r="G17" s="21" t="str">
        <x:v>Completion, workload, agreement, deviations</x:v>
      </x:c>
      <x:c r="H17" s="21" t="str">
        <x:v>Not started</x:v>
      </x:c>
      <x:c r="I17" s="21" t="str"/>
      <x:c r="J17" s="21" t="str"/>
      <x:c r="K17" s="21" t="str"/>
      <x:c r="L17" s="21" t="str"/>
    </x:row>
    <x:row r="18" ht="54" customHeight="1">
      <x:c r="A18" s="21" t="str">
        <x:v>W8</x:v>
      </x:c>
      <x:c r="B18" s="21" t="str">
        <x:v>Follow-up</x:v>
      </x:c>
      <x:c r="C18" s="21" t="str">
        <x:v>Run delayed independent transfer</x:v>
      </x:c>
      <x:c r="D18" s="21" t="str">
        <x:v>Assessment lead</x:v>
      </x:c>
      <x:c r="E18" s="21" t="str"/>
      <x:c r="F18" s="21" t="str">
        <x:v>Week 8</x:v>
      </x:c>
      <x:c r="G18" s="21" t="str">
        <x:v>Fresh task, delayed scores, intervening practice</x:v>
      </x:c>
      <x:c r="H18" s="21" t="str">
        <x:v>Not started</x:v>
      </x:c>
      <x:c r="I18" s="21" t="str"/>
      <x:c r="J18" s="21" t="str"/>
      <x:c r="K18" s="21" t="str"/>
      <x:c r="L18" s="21" t="str"/>
    </x:row>
    <x:row r="19" ht="54" customHeight="1">
      <x:c r="A19" s="21" t="str">
        <x:v>G2</x:v>
      </x:c>
      <x:c r="B19" s="21" t="str">
        <x:v>Decision</x:v>
      </x:c>
      <x:c r="C19" s="21" t="str">
        <x:v>Stop, repair, or authorize a larger study</x:v>
      </x:c>
      <x:c r="D19" s="21" t="str">
        <x:v>Sponsor + evaluator</x:v>
      </x:c>
      <x:c r="E19" s="21" t="str"/>
      <x:c r="F19" s="21" t="str">
        <x:v>After delayed results</x:v>
      </x:c>
      <x:c r="G19" s="21" t="str">
        <x:v>Bounded readout and uncertainty; unresolved risks</x:v>
      </x:c>
      <x:c r="H19" s="21" t="str">
        <x:v>Not started</x:v>
      </x:c>
      <x:c r="I19" s="21" t="str"/>
      <x:c r="J19" s="21" t="str"/>
      <x:c r="K19" s="21" t="str"/>
      <x:c r="L19" s="21" t="str">
        <x:v>No automatic efficacy or scale approval.</x:v>
      </x:c>
    </x:row>
    <x:row r="20" ht="3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 ht="3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 ht="3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 ht="3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 ht="32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 ht="32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32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 ht="3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3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3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3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3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32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 ht="3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3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 ht="3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32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32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32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32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32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32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3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3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32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</x:sheetData>
  <x:mergeCells>
    <x:mergeCell ref="A1:L1"/>
    <x:mergeCell ref="A2:L2"/>
  </x:mergeCells>
  <x:dataValidations count="1">
    <x:dataValidation type="list" sqref="H5:H44">
      <x:formula1>"Not started,Ready for review,Approved,Blocked,Complete"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be4147be884173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2" hidden="0" customWidth="1"/>
    <x:col min="4" max="4" width="65" hidden="0" customWidth="1"/>
  </x:cols>
  <x:sheetData>
    <x:row r="1" ht="32" customHeight="1">
      <x:c r="A1" s="9" t="str">
        <x:v>Σ FIRST | SYNTHETIC POWER-BUDGET EPISODE</x:v>
      </x:c>
      <x:c r="B1" s="9"/>
      <x:c r="C1" s="9"/>
      <x:c r="D1" s="9"/>
    </x:row>
    <x:row r="2" ht="32" customHeight="1">
      <x:c r="A2" s="13" t="str">
        <x:v>DEMO-001 • All inputs and observations are invented teaching data. Formulas are real calculations; no real service or learner was tested.</x:v>
      </x:c>
      <x:c r="B2" s="13"/>
      <x:c r="C2" s="13"/>
      <x:c r="D2" s="13"/>
    </x:row>
    <x:row r="3">
      <x:c r="A3" s="6"/>
      <x:c r="B3" s="6"/>
      <x:c r="C3" s="6"/>
      <x:c r="D3" s="6"/>
    </x:row>
    <x:row r="4" ht="32" customHeight="1">
      <x:c r="A4" s="17" t="str">
        <x:v>Quantity</x:v>
      </x:c>
      <x:c r="B4" s="17" t="str">
        <x:v>Value</x:v>
      </x:c>
      <x:c r="C4" s="17" t="str">
        <x:v>Unit</x:v>
      </x:c>
      <x:c r="D4" s="17" t="str">
        <x:v>Basis / boundary</x:v>
      </x:c>
    </x:row>
    <x:row r="5" ht="32" customHeight="1">
      <x:c r="A5" s="21" t="str">
        <x:v>Nominal energy</x:v>
      </x:c>
      <x:c r="B5" s="32" t="n">
        <x:v>240</x:v>
      </x:c>
      <x:c r="C5" s="21" t="str">
        <x:v>Wh</x:v>
      </x:c>
      <x:c r="D5" s="21" t="str">
        <x:v>Synthetic input.</x:v>
      </x:c>
    </x:row>
    <x:row r="6" ht="32" customHeight="1">
      <x:c r="A6" s="21" t="str">
        <x:v>Usable fraction</x:v>
      </x:c>
      <x:c r="B6" s="24" t="n">
        <x:v>0.9</x:v>
      </x:c>
      <x:c r="C6" s="21" t="str">
        <x:v>fraction</x:v>
      </x:c>
      <x:c r="D6" s="21" t="str">
        <x:v>Stipulated availability, not a measured value.</x:v>
      </x:c>
    </x:row>
    <x:row r="7" ht="32" customHeight="1">
      <x:c r="A7" s="21" t="str">
        <x:v>Conversion factor</x:v>
      </x:c>
      <x:c r="B7" s="24" t="n">
        <x:v>0.8</x:v>
      </x:c>
      <x:c r="C7" s="21" t="str">
        <x:v>fraction</x:v>
      </x:c>
      <x:c r="D7" s="21" t="str">
        <x:v>Stipulated conversion efficiency.</x:v>
      </x:c>
    </x:row>
    <x:row r="8" ht="32" customHeight="1">
      <x:c r="A8" s="21" t="str">
        <x:v>Usable energy</x:v>
      </x:c>
      <x:c r="B8" s="33" t="n">
        <x:f>B5*B6*B7</x:f>
        <x:v>172.8</x:v>
      </x:c>
      <x:c r="C8" s="21" t="str">
        <x:v>Wh</x:v>
      </x:c>
      <x:c r="D8" s="21" t="str">
        <x:v>Nominal × usable fraction × conversion.</x:v>
      </x:c>
    </x:row>
    <x:row r="9" ht="32" customHeight="1">
      <x:c r="A9" s="21" t="str">
        <x:v>Initial assumed load</x:v>
      </x:c>
      <x:c r="B9" s="32" t="n">
        <x:v>24</x:v>
      </x:c>
      <x:c r="C9" s="21" t="str">
        <x:v>W</x:v>
      </x:c>
      <x:c r="D9" s="21" t="str">
        <x:v>Model v1 assumed a constant load.</x:v>
      </x:c>
    </x:row>
    <x:row r="10" ht="32" customHeight="1">
      <x:c r="A10" s="21" t="str">
        <x:v>Initial forecast</x:v>
      </x:c>
      <x:c r="B10" s="33" t="n">
        <x:f>B8/B9</x:f>
        <x:v>7.2</x:v>
      </x:c>
      <x:c r="C10" s="21" t="str">
        <x:v>h</x:v>
      </x:c>
      <x:c r="D10" s="21" t="str">
        <x:v>Usable energy / initial load.</x:v>
      </x:c>
    </x:row>
    <x:row r="11" ht="32" customHeight="1">
      <x:c r="A11" s="21" t="str">
        <x:v>Scripted observed load</x:v>
      </x:c>
      <x:c r="B11" s="32" t="n">
        <x:v>36</x:v>
      </x:c>
      <x:c r="C11" s="21" t="str">
        <x:v>W</x:v>
      </x:c>
      <x:c r="D11" s="21" t="str">
        <x:v>Synthetic discrepancy; no instrument measurement.</x:v>
      </x:c>
    </x:row>
    <x:row r="12" ht="32" customHeight="1">
      <x:c r="A12" s="21" t="str">
        <x:v>Forecast under discrepancy</x:v>
      </x:c>
      <x:c r="B12" s="33" t="n">
        <x:f>B8/B11</x:f>
        <x:v>4.800000000000001</x:v>
      </x:c>
      <x:c r="C12" s="21" t="str">
        <x:v>h</x:v>
      </x:c>
      <x:c r="D12" s="21" t="str">
        <x:v>Same energy model with changed load.</x:v>
      </x:c>
    </x:row>
    <x:row r="13" ht="32" customHeight="1">
      <x:c r="A13" s="21" t="str">
        <x:v>Required service duration</x:v>
      </x:c>
      <x:c r="B13" s="32" t="n">
        <x:v>6</x:v>
      </x:c>
      <x:c r="C13" s="21" t="str">
        <x:v>h</x:v>
      </x:c>
      <x:c r="D13" s="21" t="str">
        <x:v>Authorized scenario objective.</x:v>
      </x:c>
    </x:row>
    <x:row r="14" ht="32" customHeight="1">
      <x:c r="A14" s="21" t="str">
        <x:v>Patch target load</x:v>
      </x:c>
      <x:c r="B14" s="32" t="n">
        <x:v>24</x:v>
      </x:c>
      <x:c r="C14" s="21" t="str">
        <x:v>W</x:v>
      </x:c>
      <x:c r="D14" s="21" t="str">
        <x:v>Target after removing nonessential demand.</x:v>
      </x:c>
    </x:row>
    <x:row r="15" ht="32" customHeight="1">
      <x:c r="A15" s="21" t="str">
        <x:v>Scripted revised load</x:v>
      </x:c>
      <x:c r="B15" s="32" t="n">
        <x:v>26</x:v>
      </x:c>
      <x:c r="C15" s="21" t="str">
        <x:v>W</x:v>
      </x:c>
      <x:c r="D15" s="21" t="str">
        <x:v>Synthetic outcome; constant over the horizon.</x:v>
      </x:c>
    </x:row>
    <x:row r="16" ht="32" customHeight="1">
      <x:c r="A16" s="21" t="str">
        <x:v>Six-hour energy consumed</x:v>
      </x:c>
      <x:c r="B16" s="33" t="n">
        <x:f>B15*B13</x:f>
        <x:v>156</x:v>
      </x:c>
      <x:c r="C16" s="21" t="str">
        <x:v>Wh</x:v>
      </x:c>
      <x:c r="D16" s="21" t="str">
        <x:v>Revised load × required duration.</x:v>
      </x:c>
    </x:row>
    <x:row r="17" ht="32" customHeight="1">
      <x:c r="A17" s="21" t="str">
        <x:v>Remaining usable energy</x:v>
      </x:c>
      <x:c r="B17" s="33" t="n">
        <x:f>B8-B16</x:f>
        <x:v>16.80000000000001</x:v>
      </x:c>
      <x:c r="C17" s="21" t="str">
        <x:v>Wh</x:v>
      </x:c>
      <x:c r="D17" s="21" t="str">
        <x:v>Usable supply minus consumption.</x:v>
      </x:c>
    </x:row>
    <x:row r="18" ht="32" customHeight="1">
      <x:c r="A18" s="21" t="str">
        <x:v>Lower energy bound</x:v>
      </x:c>
      <x:c r="B18" s="32" t="n">
        <x:v>168</x:v>
      </x:c>
      <x:c r="C18" s="21" t="str">
        <x:v>Wh</x:v>
      </x:c>
      <x:c r="D18" s="21" t="str">
        <x:v>Stipulated bound, not confidence interval.</x:v>
      </x:c>
    </x:row>
    <x:row r="19" ht="32" customHeight="1">
      <x:c r="A19" s="21" t="str">
        <x:v>Upper energy bound</x:v>
      </x:c>
      <x:c r="B19" s="32" t="n">
        <x:v>177.6</x:v>
      </x:c>
      <x:c r="C19" s="21" t="str">
        <x:v>Wh</x:v>
      </x:c>
      <x:c r="D19" s="21" t="str">
        <x:v>Stipulated bound.</x:v>
      </x:c>
    </x:row>
    <x:row r="20" ht="32" customHeight="1">
      <x:c r="A20" s="21" t="str">
        <x:v>Lower sustained load bound</x:v>
      </x:c>
      <x:c r="B20" s="32" t="n">
        <x:v>22</x:v>
      </x:c>
      <x:c r="C20" s="21" t="str">
        <x:v>W</x:v>
      </x:c>
      <x:c r="D20" s="21" t="str">
        <x:v>Stipulated bound.</x:v>
      </x:c>
    </x:row>
    <x:row r="21" ht="32" customHeight="1">
      <x:c r="A21" s="21" t="str">
        <x:v>Upper sustained load bound</x:v>
      </x:c>
      <x:c r="B21" s="32" t="n">
        <x:v>26</x:v>
      </x:c>
      <x:c r="C21" s="21" t="str">
        <x:v>W</x:v>
      </x:c>
      <x:c r="D21" s="21" t="str">
        <x:v>Stipulated bound.</x:v>
      </x:c>
    </x:row>
    <x:row r="22" ht="32" customHeight="1">
      <x:c r="A22" s="21" t="str">
        <x:v>Conservative runtime</x:v>
      </x:c>
      <x:c r="B22" s="33" t="n">
        <x:f>B18/B21</x:f>
        <x:v>6.461538461538462</x:v>
      </x:c>
      <x:c r="C22" s="21" t="str">
        <x:v>h</x:v>
      </x:c>
      <x:c r="D22" s="21" t="str">
        <x:v>Lower energy / upper load.</x:v>
      </x:c>
    </x:row>
    <x:row r="23" ht="32" customHeight="1">
      <x:c r="A23" s="21" t="str">
        <x:v>Upper runtime bound</x:v>
      </x:c>
      <x:c r="B23" s="33" t="n">
        <x:f>B19/B20</x:f>
        <x:v>8.072727272727272</x:v>
      </x:c>
      <x:c r="C23" s="21" t="str">
        <x:v>h</x:v>
      </x:c>
      <x:c r="D23" s="21" t="str">
        <x:v>Upper energy / lower load.</x:v>
      </x:c>
    </x:row>
    <x:row r="24" ht="32" customHeight="1">
      <x:c r="A24" s="21" t="str">
        <x:v>Conservative margin</x:v>
      </x:c>
      <x:c r="B24" s="33" t="n">
        <x:f>B22-B13</x:f>
        <x:v>0.4615384615384617</x:v>
      </x:c>
      <x:c r="C24" s="21" t="str">
        <x:v>h</x:v>
      </x:c>
      <x:c r="D24" s="21" t="str">
        <x:v>Conservative runtime minus requirement.</x:v>
      </x:c>
    </x:row>
    <x:row r="25" ht="32" customHeight="1">
      <x:c r="A25" s="21" t="str">
        <x:v>Scenario gate</x:v>
      </x:c>
      <x:c r="B25" s="26" t="str">
        <x:f>IF(B22&gt;=B13,"MEETS SYNTHETIC BOUND","DOES NOT MEET")</x:f>
        <x:v>MEETS SYNTHETIC BOUND</x:v>
      </x:c>
      <x:c r="C25" s="21" t="str">
        <x:v>bounded result</x:v>
      </x:c>
      <x:c r="D25" s="21" t="str">
        <x:v>Arithmetic only; not proof of real-world safety or learning.</x:v>
      </x:c>
    </x:row>
    <x:row r="26" ht="32" customHeight="1">
      <x:c r="A26" s="21"/>
      <x:c r="B26" s="21"/>
      <x:c r="C26" s="21"/>
      <x:c r="D26" s="21"/>
    </x:row>
    <x:row r="27" ht="32" customHeight="1">
      <x:c r="A27" s="21"/>
      <x:c r="B27" s="21"/>
      <x:c r="C27" s="21"/>
      <x:c r="D27" s="21"/>
    </x:row>
    <x:row r="28" ht="32" customHeight="1">
      <x:c r="A28" s="21"/>
      <x:c r="B28" s="21"/>
      <x:c r="C28" s="21"/>
      <x:c r="D28" s="21"/>
    </x:row>
    <x:row r="29" ht="32" customHeight="1">
      <x:c r="A29" s="21"/>
      <x:c r="B29" s="21"/>
      <x:c r="C29" s="21"/>
      <x:c r="D29" s="21"/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40" hidden="0" customWidth="1"/>
    <x:col min="4" max="4" width="40" hidden="0" customWidth="1"/>
    <x:col min="5" max="5" width="48" hidden="0" customWidth="1"/>
    <x:col min="6" max="6" width="65" hidden="0" customWidth="1"/>
    <x:col min="7" max="7" width="18" hidden="0" customWidth="1"/>
  </x:cols>
  <x:sheetData>
    <x:row r="1" ht="32" customHeight="1">
      <x:c r="A1" s="9" t="str">
        <x:v>Σ FIRST | EVIDENCE REGISTER</x:v>
      </x:c>
      <x:c r="B1" s="9"/>
      <x:c r="C1" s="9"/>
      <x:c r="D1" s="9"/>
      <x:c r="E1" s="9"/>
      <x:c r="F1" s="9"/>
      <x:c r="G1" s="9"/>
    </x:row>
    <x:row r="2" ht="32" customHeight="1">
      <x:c r="A2" s="13" t="str">
        <x:v>Research informs a proposed design; no listed organization endorses this pilot. All pilot sizes and thresholds are proposed choices.</x:v>
      </x:c>
      <x:c r="B2" s="13"/>
      <x:c r="C2" s="13"/>
      <x:c r="D2" s="13"/>
      <x:c r="E2" s="13"/>
      <x:c r="F2" s="13"/>
      <x:c r="G2" s="13"/>
    </x:row>
    <x:row r="3">
      <x:c r="A3" s="6"/>
      <x:c r="B3" s="6"/>
      <x:c r="C3" s="6"/>
      <x:c r="D3" s="6"/>
      <x:c r="E3" s="6"/>
      <x:c r="F3" s="6"/>
      <x:c r="G3" s="6"/>
    </x:row>
    <x:row r="4" ht="32" customHeight="1">
      <x:c r="A4" s="17" t="str">
        <x:v>ID</x:v>
      </x:c>
      <x:c r="B4" s="17" t="str">
        <x:v>Author / date</x:v>
      </x:c>
      <x:c r="C4" s="17" t="str">
        <x:v>Source</x:v>
      </x:c>
      <x:c r="D4" s="17" t="str">
        <x:v>Supported use</x:v>
      </x:c>
      <x:c r="E4" s="17" t="str">
        <x:v>Boundary</x:v>
      </x:c>
      <x:c r="F4" s="17" t="str">
        <x:v>Source URL</x:v>
      </x:c>
      <x:c r="G4" s="17" t="str">
        <x:v>Checked</x:v>
      </x:c>
    </x:row>
    <x:row r="5" ht="70" customHeight="1">
      <x:c r="A5" s="21" t="str">
        <x:v>1</x:v>
      </x:c>
      <x:c r="B5" s="21" t="str">
        <x:v>National Academies (2018)</x:v>
      </x:c>
      <x:c r="C5" s="21" t="str">
        <x:v>How People Learn II, Chapter 5</x:v>
      </x:c>
      <x:c r="D5" s="21" t="str">
        <x:v>Prior knowledge and support matter for reasoning.</x:v>
      </x:c>
      <x:c r="E5" s="21" t="str">
        <x:v>Not a national percentage of first-principles courses.</x:v>
      </x:c>
      <x:c r="F5" s="21" t="str">
        <x:v>https://www.nationalacademies.org/read/24783/chapter/7</x:v>
      </x:c>
      <x:c r="G5" s="21" t="str">
        <x:v>2026-10-23</x:v>
      </x:c>
    </x:row>
    <x:row r="6" ht="70" customHeight="1">
      <x:c r="A6" s="21" t="str">
        <x:v>2</x:v>
      </x:c>
      <x:c r="B6" s="21" t="str">
        <x:v>Freeman et al. (2014)</x:v>
      </x:c>
      <x:c r="C6" s="21" t="str">
        <x:v>Active learning in undergraduate STEM</x:v>
      </x:c>
      <x:c r="D6" s="21" t="str">
        <x:v>225-study meta-analysis supports active learning.</x:v>
      </x:c>
      <x:c r="E6" s="21" t="str">
        <x:v>Active learning is not identical to first-principles reasoning.</x:v>
      </x:c>
      <x:c r="F6" s="21" t="str">
        <x:v>https://pubmed.ncbi.nlm.nih.gov/24821756/</x:v>
      </x:c>
      <x:c r="G6" s="21" t="str">
        <x:v>2026-10-23</x:v>
      </x:c>
    </x:row>
    <x:row r="7" ht="70" customHeight="1">
      <x:c r="A7" s="21" t="str">
        <x:v>3</x:v>
      </x:c>
      <x:c r="B7" s="21" t="str">
        <x:v>Bastani et al. (2025)</x:v>
      </x:c>
      <x:c r="C7" s="21" t="str">
        <x:v>Generative AI without guardrails can harm learning</x:v>
      </x:c>
      <x:c r="D7" s="21" t="str">
        <x:v>Separates assisted task performance from later unaided learning.</x:v>
      </x:c>
      <x:c r="E7" s="21" t="str">
        <x:v>High-school mathematics setting; context and safeguards matter. Publisher lists correction DOI 10.1073/pnas.2518204122.</x:v>
      </x:c>
      <x:c r="F7" s="21" t="str">
        <x:v>https://hamsabastani.github.io/education_llm.pdf</x:v>
      </x:c>
      <x:c r="G7" s="21" t="str">
        <x:v>2026-10-23</x:v>
      </x:c>
    </x:row>
    <x:row r="8" ht="70" customHeight="1">
      <x:c r="A8" s="21" t="str">
        <x:v>4</x:v>
      </x:c>
      <x:c r="B8" s="21" t="str">
        <x:v>Kestin et al. (2025)</x:v>
      </x:c>
      <x:c r="C8" s="21" t="str">
        <x:v>AI tutoring outperforms in-class active learning</x:v>
      </x:c>
      <x:c r="D8" s="21" t="str">
        <x:v>Designed tutor improved immediate outcomes in studied college physics setting.</x:v>
      </x:c>
      <x:c r="E8" s="21" t="str">
        <x:v>Does not establish long-term or cross-domain transfer.</x:v>
      </x:c>
      <x:c r="F8" s="21" t="str">
        <x:v>https://www.nature.com/articles/s41598-025-97652-6</x:v>
      </x:c>
      <x:c r="G8" s="21" t="str">
        <x:v>2026-10-23</x:v>
      </x:c>
    </x:row>
    <x:row r="9" ht="70" customHeight="1">
      <x:c r="A9" s="21" t="str">
        <x:v>5</x:v>
      </x:c>
      <x:c r="B9" s="21" t="str">
        <x:v>MIT NEET</x:v>
      </x:c>
      <x:c r="C9" s="21" t="str">
        <x:v>Program description</x:v>
      </x:c>
      <x:c r="D9" s="21" t="str">
        <x:v>Existing interdisciplinary, project-centric learning example.</x:v>
      </x:c>
      <x:c r="E9" s="21" t="str">
        <x:v>Not evidence of a nationwide return.</x:v>
      </x:c>
      <x:c r="F9" s="21" t="str">
        <x:v>https://neet.mit.edu/about/program</x:v>
      </x:c>
      <x:c r="G9" s="21" t="str">
        <x:v>2026-10-23</x:v>
      </x:c>
    </x:row>
    <x:row r="10" ht="70" customHeight="1">
      <x:c r="A10" s="21" t="str">
        <x:v>6</x:v>
      </x:c>
      <x:c r="B10" s="21" t="str">
        <x:v>AERA / APA / NCME (2014)</x:v>
      </x:c>
      <x:c r="C10" s="21" t="str">
        <x:v>Standards for Educational and Psychological Testing</x:v>
      </x:c>
      <x:c r="D10" s="21" t="str">
        <x:v>Evidence must support intended score interpretations.</x:v>
      </x:c>
      <x:c r="E10" s="21" t="str">
        <x:v>New rubric is not a validated intelligence or credentialing measure.</x:v>
      </x:c>
      <x:c r="F10" s="21" t="str">
        <x:v>https://www.testingstandards.net/uploads/7/6/6/4/76643089/standards_2014edition.pdf</x:v>
      </x:c>
      <x:c r="G10" s="21" t="str">
        <x:v>2026-10-23</x:v>
      </x:c>
    </x:row>
    <x:row r="11" ht="70" customHeight="1">
      <x:c r="A11" s="21" t="str">
        <x:v>7</x:v>
      </x:c>
      <x:c r="B11" s="21" t="str">
        <x:v>UNESCO (2023; page updated 2026)</x:v>
      </x:c>
      <x:c r="C11" s="21" t="str">
        <x:v>Guidance for generative AI in education and research</x:v>
      </x:c>
      <x:c r="D11" s="21" t="str">
        <x:v>Human agency, privacy, and institutional evaluation.</x:v>
      </x:c>
      <x:c r="E11" s="21" t="str">
        <x:v>Not a substitute for local policy, legal advice, or institutional review.</x:v>
      </x:c>
      <x:c r="F11" s="21" t="str">
        <x:v>https://www.unesco.org/en/articles/guidance-generative-ai-education-and-research</x:v>
      </x:c>
      <x:c r="G11" s="21" t="str">
        <x:v>2026-10-23</x:v>
      </x:c>
    </x:row>
    <x:row r="12" ht="32" customHeight="1">
      <x:c r="A12" s="21"/>
      <x:c r="B12" s="21"/>
      <x:c r="C12" s="21"/>
      <x:c r="D12" s="21"/>
      <x:c r="E12" s="21"/>
      <x:c r="F12" s="21"/>
      <x:c r="G12" s="21"/>
    </x:row>
    <x:row r="13" ht="32" customHeight="1">
      <x:c r="A13" s="21"/>
      <x:c r="B13" s="21"/>
      <x:c r="C13" s="21"/>
      <x:c r="D13" s="21"/>
      <x:c r="E13" s="21"/>
      <x:c r="F13" s="21"/>
      <x:c r="G13" s="21"/>
    </x:row>
    <x:row r="14" ht="32" customHeight="1">
      <x:c r="A14" s="21"/>
      <x:c r="B14" s="21"/>
      <x:c r="C14" s="21"/>
      <x:c r="D14" s="21"/>
      <x:c r="E14" s="21"/>
      <x:c r="F14" s="21"/>
      <x:c r="G14" s="21"/>
    </x:row>
  </x:sheetData>
  <x:mergeCells>
    <x:mergeCell ref="A1:G1"/>
    <x:mergeCell ref="A2:G2"/>
  </x:mergeCells>
  <x:pageMargins left="0.7" right="0.7" top="0.75" bottom="0.75" header="0.3" footer="0.3"/>
</x:worksheet>
</file>